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K125DZ\Desktop\"/>
    </mc:Choice>
  </mc:AlternateContent>
  <xr:revisionPtr revIDLastSave="0" documentId="13_ncr:1_{F72FF228-776D-4254-94B7-C40D64D4B179}" xr6:coauthVersionLast="44" xr6:coauthVersionMax="44" xr10:uidLastSave="{00000000-0000-0000-0000-000000000000}"/>
  <bookViews>
    <workbookView xWindow="-23148" yWindow="-108" windowWidth="23256" windowHeight="12576" activeTab="2" xr2:uid="{00000000-000D-0000-FFFF-FFFF00000000}"/>
  </bookViews>
  <sheets>
    <sheet name="Macro" sheetId="8" r:id="rId1"/>
    <sheet name="Oryginal" sheetId="7" state="hidden" r:id="rId2"/>
    <sheet name="Baza" sheetId="3" r:id="rId3"/>
    <sheet name="tempBaza" sheetId="9" state="hidden" r:id="rId4"/>
    <sheet name="tempInvoice" sheetId="1" r:id="rId5"/>
    <sheet name="Klienci" sheetId="4" state="hidden" r:id="rId6"/>
    <sheet name="Usługi" sheetId="2" state="hidden" r:id="rId7"/>
    <sheet name="Listy" sheetId="6" state="hidden" r:id="rId8"/>
  </sheets>
  <functionGroups builtInGroupCount="19"/>
  <definedNames>
    <definedName name="_xlnm._FilterDatabase" localSheetId="2" hidden="1">Baza!$A$1:$S$20</definedName>
    <definedName name="_xlnm._FilterDatabase" localSheetId="3" hidden="1">tempBaza!$A$1:$Q$7</definedName>
    <definedName name="_xlnm.Criteria" localSheetId="3">#REF!</definedName>
    <definedName name="_xlnm.Extract" localSheetId="2">Baza!#REF!</definedName>
    <definedName name="_xlnm.Extract" localSheetId="3">tempBaza!#REF!</definedName>
    <definedName name="_xlnm.Print_Area" localSheetId="4">tempInvoice!#REF!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1" i="1" l="1"/>
  <c r="B31" i="7" l="1"/>
</calcChain>
</file>

<file path=xl/sharedStrings.xml><?xml version="1.0" encoding="utf-8"?>
<sst xmlns="http://schemas.openxmlformats.org/spreadsheetml/2006/main" count="772" uniqueCount="439">
  <si>
    <t>Termin płatności</t>
  </si>
  <si>
    <t>Forma płatności</t>
  </si>
  <si>
    <t>SPRZEDAWCA</t>
  </si>
  <si>
    <t>NABYWCA</t>
  </si>
  <si>
    <t xml:space="preserve">BIURO RACHUNKOWE ILMA </t>
  </si>
  <si>
    <t>Marta Sacawa</t>
  </si>
  <si>
    <t>Ul. Stefanii Pawlak 10,</t>
  </si>
  <si>
    <t>21-010 Łęczna</t>
  </si>
  <si>
    <r>
      <t>NIP 505-010-27-22</t>
    </r>
    <r>
      <rPr>
        <sz val="10"/>
        <color rgb="FF000000"/>
        <rFont val="Times New Roman"/>
        <family val="1"/>
        <charset val="238"/>
      </rPr>
      <t> </t>
    </r>
  </si>
  <si>
    <t>Bank, nr konta</t>
  </si>
  <si>
    <t>MBANK 59 1140 2004 0000 3902 7899 2491 </t>
  </si>
  <si>
    <t>L.p.</t>
  </si>
  <si>
    <t>Nazwa</t>
  </si>
  <si>
    <t>towaru / usługi</t>
  </si>
  <si>
    <t>J.M.</t>
  </si>
  <si>
    <t>Ilość</t>
  </si>
  <si>
    <t>Cena netto</t>
  </si>
  <si>
    <t>Wartość netto</t>
  </si>
  <si>
    <t>Stawka VAT</t>
  </si>
  <si>
    <t>Kwota VAT</t>
  </si>
  <si>
    <t>Wartość z VAT</t>
  </si>
  <si>
    <r>
      <t xml:space="preserve"> </t>
    </r>
    <r>
      <rPr>
        <b/>
        <sz val="9"/>
        <color rgb="FF000000"/>
        <rFont val="Times New Roman"/>
        <family val="1"/>
        <charset val="238"/>
      </rPr>
      <t xml:space="preserve">RAZEM </t>
    </r>
  </si>
  <si>
    <t>Stawka</t>
  </si>
  <si>
    <t>RAZEM</t>
  </si>
  <si>
    <t xml:space="preserve">                                                                                   </t>
  </si>
  <si>
    <t>Data zakończenia dostawy/wykonania usługi</t>
  </si>
  <si>
    <t xml:space="preserve">                                                                                                              </t>
  </si>
  <si>
    <t>FAKTURĘ WYSTAWIŁ:</t>
  </si>
  <si>
    <t xml:space="preserve">RAZEM DO ZAPŁATY </t>
  </si>
  <si>
    <t>PRZELEW</t>
  </si>
  <si>
    <t>ORYGINAŁ / KOPIA</t>
  </si>
  <si>
    <t>FAKTURA VAT NR</t>
  </si>
  <si>
    <t>Wartość z  VAT</t>
  </si>
  <si>
    <t>USŁ.</t>
  </si>
  <si>
    <t>SZT.</t>
  </si>
  <si>
    <t>Miejscowość, data</t>
  </si>
  <si>
    <t>Nazwa towaru usługi</t>
  </si>
  <si>
    <t>ID klienta (nr faktury)</t>
  </si>
  <si>
    <t>Adres 1</t>
  </si>
  <si>
    <t>Adres 2</t>
  </si>
  <si>
    <t>Adres 3</t>
  </si>
  <si>
    <t>Adres 4</t>
  </si>
  <si>
    <t>NIP</t>
  </si>
  <si>
    <t>Karol Pietrzyk</t>
  </si>
  <si>
    <t>Majdan Bobowski 19</t>
  </si>
  <si>
    <t>23-250 Urzędów</t>
  </si>
  <si>
    <t>Adres 5</t>
  </si>
  <si>
    <t>id Usługi</t>
  </si>
  <si>
    <t>Usługa Testowa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</si>
  <si>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</si>
  <si>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</si>
  <si>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</si>
  <si>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</si>
  <si>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</si>
  <si>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</si>
  <si>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</si>
  <si>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</si>
  <si>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</si>
  <si>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</si>
  <si>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</si>
  <si>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</si>
  <si>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20/01/2020</t>
  </si>
  <si>
    <t>20/02/2020</t>
  </si>
  <si>
    <t>20/03/2020</t>
  </si>
  <si>
    <t>20/04/2020</t>
  </si>
  <si>
    <t>20/05/2020</t>
  </si>
  <si>
    <t>20/06/2020</t>
  </si>
  <si>
    <t>20/07/2020</t>
  </si>
  <si>
    <t>20/08/2020</t>
  </si>
  <si>
    <t>20/09/2020</t>
  </si>
  <si>
    <t>20/10/2020</t>
  </si>
  <si>
    <t>20/11/2020</t>
  </si>
  <si>
    <t>20/12/2020</t>
  </si>
  <si>
    <t>Id Klienta(nr faktury)</t>
  </si>
  <si>
    <t>Usługa</t>
  </si>
  <si>
    <t>Stawka Vat</t>
  </si>
  <si>
    <t>Kwota Vat</t>
  </si>
  <si>
    <t>Suma Kwot netto/faktura</t>
  </si>
  <si>
    <t>Suma Wartości VAT/faktura</t>
  </si>
  <si>
    <t>Suma brutto/faktura</t>
  </si>
  <si>
    <t>Termin Płatności</t>
  </si>
  <si>
    <t>Data Faktury</t>
  </si>
  <si>
    <t>Data zakończenia usługi</t>
  </si>
  <si>
    <t xml:space="preserve">Nr faktury </t>
  </si>
  <si>
    <t>1/05/2020</t>
  </si>
  <si>
    <t>Carole Harkus</t>
  </si>
  <si>
    <t>Barnie Totaro</t>
  </si>
  <si>
    <t>Shirline Veck</t>
  </si>
  <si>
    <t>Licha Gligori</t>
  </si>
  <si>
    <t>Harland Santhouse</t>
  </si>
  <si>
    <t>Thornton Feldon</t>
  </si>
  <si>
    <t>Isiahi Domleo</t>
  </si>
  <si>
    <t>Norrie Goozee</t>
  </si>
  <si>
    <t>Morissa Ericsson</t>
  </si>
  <si>
    <t>Had Tomasini</t>
  </si>
  <si>
    <t>Cami Phillipp</t>
  </si>
  <si>
    <t>Orion Harback</t>
  </si>
  <si>
    <t>Alfie Riseborough</t>
  </si>
  <si>
    <t>Sharron Couzens</t>
  </si>
  <si>
    <t>Sherwood Chadwin</t>
  </si>
  <si>
    <t>Tina Dohms</t>
  </si>
  <si>
    <t>Alfonse Hassen</t>
  </si>
  <si>
    <t>Chad Tretter</t>
  </si>
  <si>
    <t>Lanny Srutton</t>
  </si>
  <si>
    <t>Craig Ilive</t>
  </si>
  <si>
    <t>Onofredo Escalante</t>
  </si>
  <si>
    <t>Sheela Brocklesby</t>
  </si>
  <si>
    <t>Mateo Arons</t>
  </si>
  <si>
    <t>Catina Josselsohn</t>
  </si>
  <si>
    <t>Hall Stroyan</t>
  </si>
  <si>
    <t>Jennette Habeshaw</t>
  </si>
  <si>
    <t>Nataniel Durning</t>
  </si>
  <si>
    <t>Barri Whewill</t>
  </si>
  <si>
    <t>Terence Patis</t>
  </si>
  <si>
    <t>Dale Klaus</t>
  </si>
  <si>
    <t>Kirstyn Buse</t>
  </si>
  <si>
    <t>Kaycee Willerton</t>
  </si>
  <si>
    <t>Shandeigh Viegas</t>
  </si>
  <si>
    <t>Gwennie Digman</t>
  </si>
  <si>
    <t>Allen Soonhouse</t>
  </si>
  <si>
    <t>Mohandis Cauldwell</t>
  </si>
  <si>
    <t>Lin Thame</t>
  </si>
  <si>
    <t>Wilden Burstowe</t>
  </si>
  <si>
    <t>Joellyn Densumbe</t>
  </si>
  <si>
    <t>Shalna Itscowicz</t>
  </si>
  <si>
    <t>Konstantine Guilloux</t>
  </si>
  <si>
    <t>Latisha Hinchcliffe</t>
  </si>
  <si>
    <t>Art Belverstone</t>
  </si>
  <si>
    <t>Fionnula Palatini</t>
  </si>
  <si>
    <t>Hobard Reuble</t>
  </si>
  <si>
    <t>Cristi Escudier</t>
  </si>
  <si>
    <t>Everard Pellant</t>
  </si>
  <si>
    <t>Faustine Quinsee</t>
  </si>
  <si>
    <t>Gunther Messruther</t>
  </si>
  <si>
    <t>Nigel MacNeil</t>
  </si>
  <si>
    <t>Ekaterina Rainford</t>
  </si>
  <si>
    <t>Tamarra Curado</t>
  </si>
  <si>
    <t>Davin Pelling</t>
  </si>
  <si>
    <t>Brnaba Gilling</t>
  </si>
  <si>
    <t>Rees Rough</t>
  </si>
  <si>
    <t>Lilyan Mayling</t>
  </si>
  <si>
    <t>Martyn Skehan</t>
  </si>
  <si>
    <t>Sisile Findlater</t>
  </si>
  <si>
    <t>Bank Bassill</t>
  </si>
  <si>
    <t>Joell Newsham</t>
  </si>
  <si>
    <t>Melosa Rhelton</t>
  </si>
  <si>
    <t>Tybi Wintringham</t>
  </si>
  <si>
    <t>Chrystel Osgorby</t>
  </si>
  <si>
    <t>Alistair Strongitharm</t>
  </si>
  <si>
    <t>Lenci Kondratenko</t>
  </si>
  <si>
    <t>Kirbee Lathey</t>
  </si>
  <si>
    <t>Kippar Longhurst</t>
  </si>
  <si>
    <t>Brooke Dupoy</t>
  </si>
  <si>
    <t>Jocko Fike</t>
  </si>
  <si>
    <t>Dael Bercher</t>
  </si>
  <si>
    <t>Valentia Dotterill</t>
  </si>
  <si>
    <t>Joyce Antonomoli</t>
  </si>
  <si>
    <t>Abbi Loveday</t>
  </si>
  <si>
    <t>Tudor Malster</t>
  </si>
  <si>
    <t>Artus Knowlman</t>
  </si>
  <si>
    <t>Humfrid Dodding</t>
  </si>
  <si>
    <t>Elaina Skews</t>
  </si>
  <si>
    <t>Adolphus Dubery</t>
  </si>
  <si>
    <t>Donavon Minichillo</t>
  </si>
  <si>
    <t>Sly Ethington</t>
  </si>
  <si>
    <t>Jorgan Tackett</t>
  </si>
  <si>
    <t>Conrad Astie</t>
  </si>
  <si>
    <t>Clive Curado</t>
  </si>
  <si>
    <t>Tito Scrivenor</t>
  </si>
  <si>
    <t>Pen McQueen</t>
  </si>
  <si>
    <t>Jeremie Milch</t>
  </si>
  <si>
    <t>Brear Fairfull</t>
  </si>
  <si>
    <t>Zacharias Rowat</t>
  </si>
  <si>
    <t>Jack Ecclesall</t>
  </si>
  <si>
    <t>Sheree Feakins</t>
  </si>
  <si>
    <t>Franky Binge</t>
  </si>
  <si>
    <t>Amargo Boothroyd</t>
  </si>
  <si>
    <t>Karine Medgewick</t>
  </si>
  <si>
    <t>Augustina Kneale</t>
  </si>
  <si>
    <t>Lara Stivens</t>
  </si>
  <si>
    <t>Amity Pluthero</t>
  </si>
  <si>
    <t>Allistir Wetherby</t>
  </si>
  <si>
    <t>Gard Dufaur</t>
  </si>
  <si>
    <t>Paddy Riveles</t>
  </si>
  <si>
    <t>Wileen Camilio</t>
  </si>
  <si>
    <t>42 Meadow Vale Crossing</t>
  </si>
  <si>
    <t>35762 Forest Dale Center</t>
  </si>
  <si>
    <t>8900 Vernon Center</t>
  </si>
  <si>
    <t>1 Troy Crossing</t>
  </si>
  <si>
    <t>624 Westerfield Circle</t>
  </si>
  <si>
    <t>52 Portage Circle</t>
  </si>
  <si>
    <t>3300 Superior Point</t>
  </si>
  <si>
    <t>073 Lukken Hill</t>
  </si>
  <si>
    <t>909 Dayton Avenue</t>
  </si>
  <si>
    <t>026 Tomscot Park</t>
  </si>
  <si>
    <t>57419 Michigan Place</t>
  </si>
  <si>
    <t>22 Pond Way</t>
  </si>
  <si>
    <t>38650 Grim Lane</t>
  </si>
  <si>
    <t>12 Glacier Hill Circle</t>
  </si>
  <si>
    <t>283 Bashford Place</t>
  </si>
  <si>
    <t>1877 Harbort Alley</t>
  </si>
  <si>
    <t>7061 Grim Place</t>
  </si>
  <si>
    <t>35 Oakridge Point</t>
  </si>
  <si>
    <t>15342 Melrose Avenue</t>
  </si>
  <si>
    <t>7 Norway Maple Junction</t>
  </si>
  <si>
    <t>49 Transport Circle</t>
  </si>
  <si>
    <t>85563 John Wall Crossing</t>
  </si>
  <si>
    <t>7216 Shopko Court</t>
  </si>
  <si>
    <t>82726 Pierstorff Avenue</t>
  </si>
  <si>
    <t>91 Northport Point</t>
  </si>
  <si>
    <t>06 Derek Park</t>
  </si>
  <si>
    <t>6343 Calypso Circle</t>
  </si>
  <si>
    <t>50 Thackeray Point</t>
  </si>
  <si>
    <t>8507 Utah Court</t>
  </si>
  <si>
    <t>40 Rigney Parkway</t>
  </si>
  <si>
    <t>57 Bayside Junction</t>
  </si>
  <si>
    <t>94 Oak Valley Parkway</t>
  </si>
  <si>
    <t>69873 International Center</t>
  </si>
  <si>
    <t>61909 Lawn Road</t>
  </si>
  <si>
    <t>79 Village Green Hill</t>
  </si>
  <si>
    <t>39 5th Drive</t>
  </si>
  <si>
    <t>26 Forest Dale Hill</t>
  </si>
  <si>
    <t>6285 Havey Court</t>
  </si>
  <si>
    <t>818 Mallard Parkway</t>
  </si>
  <si>
    <t>8 Brickson Park Alley</t>
  </si>
  <si>
    <t>4469 Warrior Alley</t>
  </si>
  <si>
    <t>8 Fisk Circle</t>
  </si>
  <si>
    <t>53713 Butterfield Alley</t>
  </si>
  <si>
    <t>90 Annamark Lane</t>
  </si>
  <si>
    <t>5023 Division Hill</t>
  </si>
  <si>
    <t>8635 Old Gate Pass</t>
  </si>
  <si>
    <t>6397 Pine View Terrace</t>
  </si>
  <si>
    <t>875 Main Way</t>
  </si>
  <si>
    <t>091 Moland Road</t>
  </si>
  <si>
    <t>52 Sage Court</t>
  </si>
  <si>
    <t>31 4th Court</t>
  </si>
  <si>
    <t>1 Riverside Trail</t>
  </si>
  <si>
    <t>9900 Debs Circle</t>
  </si>
  <si>
    <t>036 Lake View Crossing</t>
  </si>
  <si>
    <t>714 Eagan Terrace</t>
  </si>
  <si>
    <t>6 Sachtjen Lane</t>
  </si>
  <si>
    <t>59 Butternut Avenue</t>
  </si>
  <si>
    <t>51 Hintze Alley</t>
  </si>
  <si>
    <t>5767 Truax Pass</t>
  </si>
  <si>
    <t>34 Garrison Terrace</t>
  </si>
  <si>
    <t>06 Boyd Park</t>
  </si>
  <si>
    <t>4 Dovetail Street</t>
  </si>
  <si>
    <t>98 Pepper Wood Plaza</t>
  </si>
  <si>
    <t>9765 Northview Alley</t>
  </si>
  <si>
    <t>135 Algoma Alley</t>
  </si>
  <si>
    <t>246 Bunting Junction</t>
  </si>
  <si>
    <t>5373 Summerview Junction</t>
  </si>
  <si>
    <t>6893 Surrey Way</t>
  </si>
  <si>
    <t>92906 Gina Way</t>
  </si>
  <si>
    <t>85549 Jackson Circle</t>
  </si>
  <si>
    <t>27090 Mccormick Parkway</t>
  </si>
  <si>
    <t>1 Kinsman Avenue</t>
  </si>
  <si>
    <t>1915 Springview Road</t>
  </si>
  <si>
    <t>624 Fallview Pass</t>
  </si>
  <si>
    <t>71359 Haas Plaza</t>
  </si>
  <si>
    <t>5 Algoma Park</t>
  </si>
  <si>
    <t>95975 Jenna Hill</t>
  </si>
  <si>
    <t>2 Caliangt Place</t>
  </si>
  <si>
    <t>8 Donald Park</t>
  </si>
  <si>
    <t>66 Mallard Park</t>
  </si>
  <si>
    <t>47 Anniversary Point</t>
  </si>
  <si>
    <t>016 Elka Avenue</t>
  </si>
  <si>
    <t>14011 Di Loreto Terrace</t>
  </si>
  <si>
    <t>969 Mandrake Place</t>
  </si>
  <si>
    <t>2085 Northport Plaza</t>
  </si>
  <si>
    <t>0631 Garrison Trail</t>
  </si>
  <si>
    <t>74 Utah Parkway</t>
  </si>
  <si>
    <t>5 Reinke Trail</t>
  </si>
  <si>
    <t>97200 Sycamore Trail</t>
  </si>
  <si>
    <t>8283 Pennsylvania Avenue</t>
  </si>
  <si>
    <t>213 Acker Hill</t>
  </si>
  <si>
    <t>3 Pond Avenue</t>
  </si>
  <si>
    <t>03 Pleasure Drive</t>
  </si>
  <si>
    <t>2 Vernon Road</t>
  </si>
  <si>
    <t>41 Tennyson Center</t>
  </si>
  <si>
    <t>23909 Reinke Way</t>
  </si>
  <si>
    <t>28 Carey Hill</t>
  </si>
  <si>
    <t>227 Talmadge Alley</t>
  </si>
  <si>
    <t>14726 Red Cloud Crossing</t>
  </si>
  <si>
    <t>1921 Amoth Drive</t>
  </si>
  <si>
    <t>Street 1</t>
  </si>
  <si>
    <t>Street 2</t>
  </si>
  <si>
    <t>Street 3</t>
  </si>
  <si>
    <t>Street 4</t>
  </si>
  <si>
    <t>Street 5</t>
  </si>
  <si>
    <t>Street 6</t>
  </si>
  <si>
    <t>Street 7</t>
  </si>
  <si>
    <t>Street 8</t>
  </si>
  <si>
    <t>Street 9</t>
  </si>
  <si>
    <t>Street 10</t>
  </si>
  <si>
    <t>Street 11</t>
  </si>
  <si>
    <t>Street 12</t>
  </si>
  <si>
    <t>Street 13</t>
  </si>
  <si>
    <t>Street 14</t>
  </si>
  <si>
    <t>Street 15</t>
  </si>
  <si>
    <t>Street 16</t>
  </si>
  <si>
    <t>Street 17</t>
  </si>
  <si>
    <t>Street 18</t>
  </si>
  <si>
    <t>Street 19</t>
  </si>
  <si>
    <t>Street 20</t>
  </si>
  <si>
    <t>Street 21</t>
  </si>
  <si>
    <t>Street 22</t>
  </si>
  <si>
    <t>Street 23</t>
  </si>
  <si>
    <t>Street 24</t>
  </si>
  <si>
    <t>Street 25</t>
  </si>
  <si>
    <t>Street 26</t>
  </si>
  <si>
    <t>Street 27</t>
  </si>
  <si>
    <t>Street 28</t>
  </si>
  <si>
    <t>Street 29</t>
  </si>
  <si>
    <t>Street 30</t>
  </si>
  <si>
    <t>Street 31</t>
  </si>
  <si>
    <t>Street 32</t>
  </si>
  <si>
    <t>Street 33</t>
  </si>
  <si>
    <t>Street 34</t>
  </si>
  <si>
    <t>Street 35</t>
  </si>
  <si>
    <t>Street 36</t>
  </si>
  <si>
    <t>Street 37</t>
  </si>
  <si>
    <t>Street 38</t>
  </si>
  <si>
    <t>Street 39</t>
  </si>
  <si>
    <t>Street 40</t>
  </si>
  <si>
    <t>Street 41</t>
  </si>
  <si>
    <t>Street 42</t>
  </si>
  <si>
    <t>Street 43</t>
  </si>
  <si>
    <t>Street 44</t>
  </si>
  <si>
    <t>Street 45</t>
  </si>
  <si>
    <t>Street 46</t>
  </si>
  <si>
    <t>Street 47</t>
  </si>
  <si>
    <t>Street 48</t>
  </si>
  <si>
    <t>Street 49</t>
  </si>
  <si>
    <t>Street 50</t>
  </si>
  <si>
    <t>Street 51</t>
  </si>
  <si>
    <t>Street 52</t>
  </si>
  <si>
    <t>Street 53</t>
  </si>
  <si>
    <t>Street 54</t>
  </si>
  <si>
    <t>Street 55</t>
  </si>
  <si>
    <t>Street 56</t>
  </si>
  <si>
    <t>Street 57</t>
  </si>
  <si>
    <t>Street 58</t>
  </si>
  <si>
    <t>Street 59</t>
  </si>
  <si>
    <t>Street 60</t>
  </si>
  <si>
    <t>Street 61</t>
  </si>
  <si>
    <t>Street 62</t>
  </si>
  <si>
    <t>Street 63</t>
  </si>
  <si>
    <t>Street 64</t>
  </si>
  <si>
    <t>Street 65</t>
  </si>
  <si>
    <t>Street 66</t>
  </si>
  <si>
    <t>Street 67</t>
  </si>
  <si>
    <t>Street 68</t>
  </si>
  <si>
    <t>Street 69</t>
  </si>
  <si>
    <t>Street 70</t>
  </si>
  <si>
    <t>Street 71</t>
  </si>
  <si>
    <t>Street 72</t>
  </si>
  <si>
    <t>Street 73</t>
  </si>
  <si>
    <t>Street 74</t>
  </si>
  <si>
    <t>Street 75</t>
  </si>
  <si>
    <t>Street 76</t>
  </si>
  <si>
    <t>Street 77</t>
  </si>
  <si>
    <t>Street 78</t>
  </si>
  <si>
    <t>Street 79</t>
  </si>
  <si>
    <t>Street 80</t>
  </si>
  <si>
    <t>Street 81</t>
  </si>
  <si>
    <t>Street 82</t>
  </si>
  <si>
    <t>Street 83</t>
  </si>
  <si>
    <t>Street 84</t>
  </si>
  <si>
    <t>Street 85</t>
  </si>
  <si>
    <t>Street 86</t>
  </si>
  <si>
    <t>Street 87</t>
  </si>
  <si>
    <t>Street 88</t>
  </si>
  <si>
    <t>Street 89</t>
  </si>
  <si>
    <t>Street 90</t>
  </si>
  <si>
    <t>Street 91</t>
  </si>
  <si>
    <t>Street 92</t>
  </si>
  <si>
    <t>Street 93</t>
  </si>
  <si>
    <t>Street 94</t>
  </si>
  <si>
    <t>Street 95</t>
  </si>
  <si>
    <t>Street 96</t>
  </si>
  <si>
    <t>Street 97</t>
  </si>
  <si>
    <t>Street 98</t>
  </si>
  <si>
    <t>Street 99</t>
  </si>
  <si>
    <t>Street 100</t>
  </si>
  <si>
    <t>USŁUGA KSIĘGOWA &lt;miesiac&gt;</t>
  </si>
  <si>
    <t>Wywózka szamba &lt;miesiac&gt;</t>
  </si>
  <si>
    <t>USŁUGA KSIĘGOWA MAJ</t>
  </si>
  <si>
    <t>120,00</t>
  </si>
  <si>
    <t>0,23</t>
  </si>
  <si>
    <t>27,60</t>
  </si>
  <si>
    <t>147,60</t>
  </si>
  <si>
    <t>0,08</t>
  </si>
  <si>
    <t>100,00</t>
  </si>
  <si>
    <t>8,00</t>
  </si>
  <si>
    <t>108,00</t>
  </si>
  <si>
    <t>220,00</t>
  </si>
  <si>
    <t>35,60</t>
  </si>
  <si>
    <t>255,60</t>
  </si>
  <si>
    <t>2/05/2020</t>
  </si>
  <si>
    <t>Stawki</t>
  </si>
  <si>
    <t>J.M</t>
  </si>
  <si>
    <t>Nr konta</t>
  </si>
  <si>
    <t>Wystawił</t>
  </si>
  <si>
    <t>23,00%</t>
  </si>
  <si>
    <t>Wywózka szamba MAJ</t>
  </si>
  <si>
    <t>150,00</t>
  </si>
  <si>
    <t>0,05</t>
  </si>
  <si>
    <t>7,50</t>
  </si>
  <si>
    <t>157,50</t>
  </si>
  <si>
    <t>370,00</t>
  </si>
  <si>
    <t>43,10</t>
  </si>
  <si>
    <t>413,10</t>
  </si>
  <si>
    <t>9/05/2020</t>
  </si>
  <si>
    <t>USŁUGA KSIĘGOWA CZERWIEC</t>
  </si>
  <si>
    <t>1/06/2020</t>
  </si>
  <si>
    <t>Zapisać do PDF?</t>
  </si>
  <si>
    <t>Utworzyć wiadomość email?</t>
  </si>
  <si>
    <t>Tak</t>
  </si>
  <si>
    <t>Nie</t>
  </si>
  <si>
    <t>Zapisano</t>
  </si>
  <si>
    <t>Utworzono</t>
  </si>
  <si>
    <t>USŁUGA KSIĘGOWA STYCZEŃ</t>
  </si>
  <si>
    <t>5/01/2020</t>
  </si>
  <si>
    <t>USŁUGA KSIĘGOWA SIERPIEŃ</t>
  </si>
  <si>
    <t>270,00</t>
  </si>
  <si>
    <t>35,10</t>
  </si>
  <si>
    <t>305,10</t>
  </si>
  <si>
    <t>12/08/2020</t>
  </si>
  <si>
    <t>Wywózka szamba SIERPIEŃ</t>
  </si>
  <si>
    <t>100/01/2020</t>
  </si>
  <si>
    <t>Łęczna, 2020-02-03</t>
  </si>
  <si>
    <t>200,00</t>
  </si>
  <si>
    <t>16,00</t>
  </si>
  <si>
    <t>216,00</t>
  </si>
  <si>
    <t>2/01/2020</t>
  </si>
  <si>
    <t>7/01/2020</t>
  </si>
  <si>
    <t>11/01/2020</t>
  </si>
  <si>
    <t>NIP: 777888121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</si>
</sst>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zł&quot;"/>
  </numFmts>
  <fonts count="16" x14ac:knownFonts="1">
    <font>
      <sz val="11"/>
      <color theme="1"/>
      <name val="Calibri"/>
      <family val="2"/>
      <charset val="238"/>
      <scheme val="minor"/>
    </font>
    <font>
      <sz val="12"/>
      <color theme="1"/>
      <name val="Times New Roman"/>
      <family val="1"/>
      <charset val="238"/>
    </font>
    <font>
      <b/>
      <sz val="12"/>
      <color rgb="FF000000"/>
      <name val="Times New Roman"/>
      <family val="1"/>
      <charset val="238"/>
    </font>
    <font>
      <b/>
      <sz val="12"/>
      <color rgb="FFFF0000"/>
      <name val="Times New Roman"/>
      <family val="1"/>
      <charset val="238"/>
    </font>
    <font>
      <sz val="10"/>
      <color rgb="FF000000"/>
      <name val="Times New Roman"/>
      <family val="1"/>
      <charset val="238"/>
    </font>
    <font>
      <sz val="10"/>
      <color theme="1"/>
      <name val="Times New Roman"/>
      <family val="1"/>
      <charset val="238"/>
    </font>
    <font>
      <b/>
      <sz val="10"/>
      <color rgb="FF000000"/>
      <name val="Times New Roman"/>
      <family val="1"/>
      <charset val="238"/>
    </font>
    <font>
      <sz val="10"/>
      <color rgb="FFFFFFFF"/>
      <name val="Times New Roman"/>
      <family val="1"/>
      <charset val="238"/>
    </font>
    <font>
      <sz val="8"/>
      <color rgb="FF000000"/>
      <name val="Times New Roman"/>
      <family val="1"/>
      <charset val="238"/>
    </font>
    <font>
      <b/>
      <sz val="9"/>
      <color rgb="FF000000"/>
      <name val="Times New Roman"/>
      <family val="1"/>
      <charset val="238"/>
    </font>
    <font>
      <sz val="11"/>
      <color rgb="FF000000"/>
      <name val="Times New Roman"/>
      <family val="1"/>
      <charset val="238"/>
    </font>
    <font>
      <b/>
      <sz val="10"/>
      <color theme="1"/>
      <name val="Times New Roman"/>
      <family val="1"/>
      <charset val="238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name val="Arial"/>
      <family val="1"/>
    </font>
    <font>
      <sz val="8"/>
      <name val="Calibri"/>
      <family val="2"/>
      <charset val="238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0" fontId="14" fillId="0" borderId="0"/>
  </cellStyleXfs>
  <cellXfs count="134">
    <xf numFmtId="0" fontId="0" fillId="0" borderId="0" xfId="0"/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/>
    </xf>
    <xf numFmtId="0" fontId="11" fillId="0" borderId="0" xfId="0" applyFont="1" applyAlignment="1">
      <alignment horizontal="justify" vertical="center"/>
    </xf>
    <xf numFmtId="0" fontId="11" fillId="0" borderId="0" xfId="0" applyFont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3" fillId="0" borderId="9" xfId="0" applyFont="1" applyBorder="1" applyAlignment="1">
      <alignment vertical="center"/>
    </xf>
    <xf numFmtId="0" fontId="7" fillId="0" borderId="9" xfId="0" applyFont="1" applyBorder="1" applyAlignment="1">
      <alignment vertical="center"/>
    </xf>
    <xf numFmtId="0" fontId="6" fillId="0" borderId="9" xfId="0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7" fillId="0" borderId="0" xfId="0" applyFont="1" applyBorder="1" applyAlignment="1">
      <alignment vertical="center"/>
    </xf>
    <xf numFmtId="0" fontId="3" fillId="0" borderId="0" xfId="0" applyFont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6" fillId="0" borderId="25" xfId="0" applyFont="1" applyBorder="1" applyAlignment="1">
      <alignment vertical="center"/>
    </xf>
    <xf numFmtId="0" fontId="11" fillId="0" borderId="0" xfId="0" applyFont="1" applyAlignment="1">
      <alignment vertical="center"/>
    </xf>
    <xf numFmtId="2" fontId="4" fillId="0" borderId="7" xfId="0" applyNumberFormat="1" applyFont="1" applyBorder="1" applyAlignment="1">
      <alignment horizontal="center" vertical="center"/>
    </xf>
    <xf numFmtId="0" fontId="13" fillId="0" borderId="0" xfId="0" applyFont="1"/>
    <xf numFmtId="2" fontId="0" fillId="0" borderId="0" xfId="0" applyNumberFormat="1"/>
    <xf numFmtId="9" fontId="0" fillId="0" borderId="0" xfId="0" applyNumberFormat="1"/>
    <xf numFmtId="9" fontId="0" fillId="0" borderId="0" xfId="1" applyFont="1"/>
    <xf numFmtId="14" fontId="0" fillId="0" borderId="0" xfId="0" applyNumberFormat="1"/>
    <xf numFmtId="49" fontId="0" fillId="0" borderId="0" xfId="0" applyNumberFormat="1"/>
    <xf numFmtId="0" fontId="14" fillId="0" borderId="0" xfId="2"/>
    <xf numFmtId="0" fontId="14" fillId="0" borderId="0" xfId="2"/>
    <xf numFmtId="0" fontId="4" fillId="0" borderId="15" xfId="0" applyFont="1" applyBorder="1" applyAlignment="1">
      <alignment horizontal="center" vertical="center"/>
    </xf>
    <xf numFmtId="14" fontId="13" fillId="0" borderId="0" xfId="0" applyNumberFormat="1" applyFont="1"/>
    <xf numFmtId="49" fontId="13" fillId="0" borderId="0" xfId="0" applyNumberFormat="1" applyFont="1"/>
    <xf numFmtId="49" fontId="13" fillId="0" borderId="0" xfId="0" applyNumberFormat="1" applyFont="1" applyFill="1"/>
    <xf numFmtId="49" fontId="0" fillId="0" borderId="0" xfId="0" applyNumberFormat="1" applyFill="1"/>
    <xf numFmtId="0" fontId="0" fillId="0" borderId="0" xfId="0" applyAlignment="1">
      <alignment horizontal="center" vertical="center"/>
    </xf>
    <xf numFmtId="49" fontId="13" fillId="6" borderId="26" xfId="0" applyNumberFormat="1" applyFont="1" applyFill="1" applyBorder="1" applyAlignment="1">
      <alignment horizontal="center" vertical="center"/>
    </xf>
    <xf numFmtId="49" fontId="13" fillId="8" borderId="26" xfId="0" applyNumberFormat="1" applyFont="1" applyFill="1" applyBorder="1" applyAlignment="1">
      <alignment horizontal="center" vertical="center"/>
    </xf>
    <xf numFmtId="49" fontId="13" fillId="7" borderId="26" xfId="0" applyNumberFormat="1" applyFont="1" applyFill="1" applyBorder="1" applyAlignment="1">
      <alignment horizontal="center" vertical="center"/>
    </xf>
    <xf numFmtId="49" fontId="13" fillId="9" borderId="26" xfId="0" applyNumberFormat="1" applyFont="1" applyFill="1" applyBorder="1" applyAlignment="1">
      <alignment horizontal="center" vertical="center"/>
    </xf>
    <xf numFmtId="49" fontId="13" fillId="9" borderId="26" xfId="0" applyNumberFormat="1" applyFont="1" applyFill="1" applyBorder="1" applyAlignment="1">
      <alignment horizontal="center" vertical="center" wrapText="1"/>
    </xf>
    <xf numFmtId="14" fontId="13" fillId="0" borderId="0" xfId="0" applyNumberFormat="1" applyFont="1" applyFill="1"/>
    <xf numFmtId="14" fontId="0" fillId="0" borderId="0" xfId="0" applyNumberFormat="1" applyFill="1"/>
    <xf numFmtId="164" fontId="11" fillId="0" borderId="0" xfId="0" applyNumberFormat="1" applyFont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5" fillId="4" borderId="0" xfId="0" applyFont="1" applyFill="1" applyAlignment="1">
      <alignment vertical="center"/>
    </xf>
    <xf numFmtId="0" fontId="4" fillId="0" borderId="9" xfId="0" applyFont="1" applyBorder="1" applyAlignment="1">
      <alignment horizontal="center" vertical="center"/>
    </xf>
    <xf numFmtId="0" fontId="10" fillId="0" borderId="11" xfId="0" applyFont="1" applyBorder="1" applyAlignment="1">
      <alignment vertical="center"/>
    </xf>
    <xf numFmtId="0" fontId="10" fillId="0" borderId="8" xfId="0" applyFont="1" applyBorder="1" applyAlignment="1">
      <alignment vertical="center"/>
    </xf>
    <xf numFmtId="2" fontId="10" fillId="0" borderId="11" xfId="0" applyNumberFormat="1" applyFont="1" applyBorder="1" applyAlignment="1">
      <alignment horizontal="center" vertical="center" wrapText="1"/>
    </xf>
    <xf numFmtId="2" fontId="10" fillId="0" borderId="8" xfId="0" applyNumberFormat="1" applyFont="1" applyBorder="1" applyAlignment="1">
      <alignment horizontal="center" vertical="center" wrapText="1"/>
    </xf>
    <xf numFmtId="2" fontId="10" fillId="0" borderId="11" xfId="0" applyNumberFormat="1" applyFont="1" applyBorder="1" applyAlignment="1">
      <alignment horizontal="center" vertical="center"/>
    </xf>
    <xf numFmtId="2" fontId="10" fillId="0" borderId="8" xfId="0" applyNumberFormat="1" applyFont="1" applyBorder="1" applyAlignment="1">
      <alignment horizontal="center" vertical="center"/>
    </xf>
    <xf numFmtId="9" fontId="10" fillId="0" borderId="11" xfId="0" applyNumberFormat="1" applyFont="1" applyBorder="1" applyAlignment="1">
      <alignment horizontal="center" vertical="center"/>
    </xf>
    <xf numFmtId="9" fontId="10" fillId="0" borderId="8" xfId="0" applyNumberFormat="1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vertical="center" wrapText="1"/>
    </xf>
    <xf numFmtId="2" fontId="4" fillId="0" borderId="11" xfId="0" applyNumberFormat="1" applyFont="1" applyBorder="1" applyAlignment="1">
      <alignment horizontal="center" vertical="center" wrapText="1"/>
    </xf>
    <xf numFmtId="2" fontId="4" fillId="0" borderId="8" xfId="0" applyNumberFormat="1" applyFont="1" applyBorder="1" applyAlignment="1">
      <alignment horizontal="center" vertical="center" wrapText="1"/>
    </xf>
    <xf numFmtId="0" fontId="6" fillId="3" borderId="21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4" fillId="0" borderId="18" xfId="0" applyFont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11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0" fillId="0" borderId="11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 wrapText="1"/>
    </xf>
    <xf numFmtId="0" fontId="8" fillId="3" borderId="4" xfId="0" applyFont="1" applyFill="1" applyBorder="1" applyAlignment="1">
      <alignment horizontal="center" vertical="center" wrapText="1"/>
    </xf>
    <xf numFmtId="0" fontId="8" fillId="3" borderId="5" xfId="0" applyFont="1" applyFill="1" applyBorder="1" applyAlignment="1">
      <alignment horizontal="center" vertical="center" wrapText="1"/>
    </xf>
    <xf numFmtId="0" fontId="8" fillId="3" borderId="7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>
      <alignment horizontal="center" vertical="center" wrapText="1"/>
    </xf>
    <xf numFmtId="0" fontId="8" fillId="3" borderId="15" xfId="0" applyFont="1" applyFill="1" applyBorder="1" applyAlignment="1">
      <alignment horizontal="center" vertical="center" wrapText="1"/>
    </xf>
    <xf numFmtId="0" fontId="8" fillId="3" borderId="5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2" fontId="6" fillId="0" borderId="3" xfId="0" applyNumberFormat="1" applyFont="1" applyBorder="1" applyAlignment="1">
      <alignment horizontal="center" vertical="center" wrapText="1"/>
    </xf>
    <xf numFmtId="2" fontId="6" fillId="0" borderId="4" xfId="0" applyNumberFormat="1" applyFont="1" applyBorder="1" applyAlignment="1">
      <alignment horizontal="center" vertical="center" wrapText="1"/>
    </xf>
    <xf numFmtId="2" fontId="0" fillId="5" borderId="11" xfId="0" applyNumberFormat="1" applyFill="1" applyBorder="1" applyAlignment="1">
      <alignment horizontal="center" vertical="center"/>
    </xf>
    <xf numFmtId="2" fontId="0" fillId="5" borderId="8" xfId="0" applyNumberFormat="1" applyFill="1" applyBorder="1" applyAlignment="1">
      <alignment horizontal="center" vertical="center"/>
    </xf>
    <xf numFmtId="10" fontId="4" fillId="0" borderId="11" xfId="0" applyNumberFormat="1" applyFont="1" applyBorder="1" applyAlignment="1">
      <alignment horizontal="center" vertical="center"/>
    </xf>
    <xf numFmtId="10" fontId="4" fillId="0" borderId="8" xfId="0" applyNumberFormat="1" applyFont="1" applyBorder="1" applyAlignment="1">
      <alignment horizontal="center" vertical="center"/>
    </xf>
    <xf numFmtId="0" fontId="8" fillId="3" borderId="16" xfId="0" applyFont="1" applyFill="1" applyBorder="1" applyAlignment="1">
      <alignment horizontal="center" vertical="center"/>
    </xf>
    <xf numFmtId="0" fontId="8" fillId="3" borderId="15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6" fillId="0" borderId="24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14" fontId="4" fillId="4" borderId="11" xfId="0" applyNumberFormat="1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4" fontId="4" fillId="0" borderId="11" xfId="0" applyNumberFormat="1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49" fontId="2" fillId="0" borderId="2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2" fillId="0" borderId="5" xfId="0" applyNumberFormat="1" applyFont="1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</cellXfs>
  <cellStyles count="3">
    <cellStyle name="Normal" xfId="0" builtinId="0"/>
    <cellStyle name="Normal 2" xfId="2" xr:uid="{5218EFE8-4C0B-4E99-9805-325264A0C1DF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438150</xdr:colOff>
      <xdr:row>2</xdr:row>
      <xdr:rowOff>25400</xdr:rowOff>
    </xdr:from>
    <xdr:to>
      <xdr:col>2</xdr:col>
      <xdr:colOff>133350</xdr:colOff>
      <xdr:row>7</xdr:row>
      <xdr:rowOff>19050</xdr:rowOff>
    </xdr:to>
    <xdr:pic macro="[0]!RunMacro">
      <xdr:nvPicPr>
        <xdr:cNvPr id="3" name="Graphic 2" descr="Contract">
          <a:extLst>
            <a:ext uri="{FF2B5EF4-FFF2-40B4-BE49-F238E27FC236}">
              <a16:creationId xmlns:a16="http://schemas.microsoft.com/office/drawing/2014/main" id="{36D91B76-B38D-4CC6-AAD1-4AA72D8BB5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38150" y="39370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393490</xdr:colOff>
      <xdr:row>1</xdr:row>
      <xdr:rowOff>17357</xdr:rowOff>
    </xdr:from>
    <xdr:to>
      <xdr:col>22</xdr:col>
      <xdr:colOff>327238</xdr:colOff>
      <xdr:row>7</xdr:row>
      <xdr:rowOff>21378</xdr:rowOff>
    </xdr:to>
    <xdr:pic macro="[0]!WieleFaktur">
      <xdr:nvPicPr>
        <xdr:cNvPr id="3" name="Graphic 2" descr="Contract RTL">
          <a:extLst>
            <a:ext uri="{FF2B5EF4-FFF2-40B4-BE49-F238E27FC236}">
              <a16:creationId xmlns:a16="http://schemas.microsoft.com/office/drawing/2014/main" id="{5C68628F-8388-4DF0-8423-EC1351A376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1464907" y="197274"/>
          <a:ext cx="1161414" cy="10892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C32D4-CB8A-47CD-9559-E49DBA73943D}">
  <sheetPr codeName="Sheet6"/>
  <dimension ref="A1"/>
  <sheetViews>
    <sheetView showGridLines="0" workbookViewId="0">
      <selection activeCell="B1" sqref="B1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7C875-2C29-4716-83B0-27EFA7F417CF}">
  <sheetPr codeName="Sheet4"/>
  <dimension ref="A1:T32"/>
  <sheetViews>
    <sheetView zoomScale="80" zoomScaleNormal="80" workbookViewId="0">
      <selection activeCell="E49" sqref="E49"/>
    </sheetView>
  </sheetViews>
  <sheetFormatPr defaultRowHeight="14.4" x14ac:dyDescent="0.3"/>
  <cols>
    <col min="1" max="1" width="3.44140625" customWidth="1"/>
    <col min="2" max="2" width="9.44140625" customWidth="1"/>
    <col min="3" max="3" width="4.5546875" customWidth="1"/>
    <col min="4" max="4" width="1" customWidth="1"/>
    <col min="5" max="5" width="12.109375" customWidth="1"/>
    <col min="6" max="6" width="8.109375" customWidth="1"/>
    <col min="7" max="7" width="7.5546875" customWidth="1"/>
    <col min="8" max="8" width="1.109375" customWidth="1"/>
    <col min="9" max="9" width="6" customWidth="1"/>
    <col min="10" max="10" width="0" hidden="1" customWidth="1"/>
    <col min="11" max="11" width="2.44140625" customWidth="1"/>
    <col min="12" max="12" width="6.109375" customWidth="1"/>
    <col min="13" max="13" width="1.5546875" customWidth="1"/>
    <col min="14" max="14" width="6" customWidth="1"/>
    <col min="15" max="15" width="2.88671875" customWidth="1"/>
    <col min="16" max="16" width="6.88671875" customWidth="1"/>
    <col min="17" max="17" width="0.109375" customWidth="1"/>
    <col min="18" max="18" width="8.5546875" customWidth="1"/>
    <col min="19" max="19" width="0.88671875" customWidth="1"/>
    <col min="20" max="20" width="9.5546875" customWidth="1"/>
  </cols>
  <sheetData>
    <row r="1" spans="1:20" ht="15.6" customHeight="1" thickBot="1" x14ac:dyDescent="0.35">
      <c r="A1" s="118" t="s">
        <v>31</v>
      </c>
      <c r="B1" s="119"/>
      <c r="C1" s="119"/>
      <c r="D1" s="119"/>
      <c r="E1" s="119"/>
      <c r="F1" s="122"/>
      <c r="G1" s="123"/>
      <c r="H1" s="124"/>
      <c r="I1" s="11"/>
      <c r="J1" s="6"/>
      <c r="K1" s="65"/>
      <c r="L1" s="67"/>
      <c r="M1" s="67"/>
      <c r="N1" s="67"/>
      <c r="O1" s="67"/>
      <c r="P1" s="67"/>
      <c r="Q1" s="67"/>
      <c r="R1" s="67"/>
      <c r="S1" s="67"/>
      <c r="T1" s="66"/>
    </row>
    <row r="2" spans="1:20" ht="16.2" thickBot="1" x14ac:dyDescent="0.35">
      <c r="A2" s="120"/>
      <c r="B2" s="121"/>
      <c r="C2" s="121"/>
      <c r="D2" s="121"/>
      <c r="E2" s="121"/>
      <c r="F2" s="125"/>
      <c r="G2" s="126"/>
      <c r="H2" s="127"/>
      <c r="I2" s="11"/>
      <c r="J2" s="6"/>
      <c r="K2" s="128" t="s">
        <v>35</v>
      </c>
      <c r="L2" s="129"/>
      <c r="M2" s="129"/>
      <c r="N2" s="129"/>
      <c r="O2" s="129"/>
      <c r="P2" s="129"/>
      <c r="Q2" s="129"/>
      <c r="R2" s="129"/>
      <c r="S2" s="129"/>
      <c r="T2" s="130"/>
    </row>
    <row r="3" spans="1:20" ht="16.2" thickBot="1" x14ac:dyDescent="0.35">
      <c r="A3" s="131" t="s">
        <v>30</v>
      </c>
      <c r="B3" s="132"/>
      <c r="C3" s="132"/>
      <c r="D3" s="132"/>
      <c r="E3" s="133"/>
      <c r="F3" s="5"/>
      <c r="G3" s="5"/>
      <c r="H3" s="5"/>
      <c r="I3" s="11"/>
      <c r="J3" s="11"/>
      <c r="K3" s="12"/>
      <c r="L3" s="12"/>
      <c r="M3" s="12"/>
      <c r="N3" s="12"/>
      <c r="O3" s="12"/>
      <c r="P3" s="12"/>
      <c r="Q3" s="12"/>
      <c r="R3" s="12"/>
      <c r="S3" s="12"/>
      <c r="T3" s="12"/>
    </row>
    <row r="4" spans="1:20" ht="15" thickBot="1" x14ac:dyDescent="0.35">
      <c r="A4" s="41"/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</row>
    <row r="5" spans="1:20" ht="15" thickBot="1" x14ac:dyDescent="0.35">
      <c r="A5" s="106" t="s">
        <v>0</v>
      </c>
      <c r="B5" s="108"/>
      <c r="C5" s="108"/>
      <c r="D5" s="108"/>
      <c r="E5" s="109" t="s">
        <v>1</v>
      </c>
      <c r="F5" s="109"/>
      <c r="G5" s="109"/>
      <c r="H5" s="109"/>
      <c r="I5" s="10"/>
      <c r="J5" s="7"/>
      <c r="K5" s="106" t="s">
        <v>25</v>
      </c>
      <c r="L5" s="108"/>
      <c r="M5" s="108"/>
      <c r="N5" s="108"/>
      <c r="O5" s="108"/>
      <c r="P5" s="108"/>
      <c r="Q5" s="108"/>
      <c r="R5" s="108"/>
      <c r="S5" s="108"/>
      <c r="T5" s="107"/>
    </row>
    <row r="6" spans="1:20" ht="15" thickBot="1" x14ac:dyDescent="0.35">
      <c r="A6" s="110"/>
      <c r="B6" s="111"/>
      <c r="C6" s="111"/>
      <c r="D6" s="111"/>
      <c r="E6" s="112" t="s">
        <v>29</v>
      </c>
      <c r="F6" s="112"/>
      <c r="G6" s="112"/>
      <c r="H6" s="112"/>
      <c r="I6" s="10"/>
      <c r="J6" s="7"/>
      <c r="K6" s="113"/>
      <c r="L6" s="67"/>
      <c r="M6" s="67"/>
      <c r="N6" s="67"/>
      <c r="O6" s="67"/>
      <c r="P6" s="67"/>
      <c r="Q6" s="67"/>
      <c r="R6" s="67"/>
      <c r="S6" s="67"/>
      <c r="T6" s="66"/>
    </row>
    <row r="7" spans="1:20" ht="15" thickBot="1" x14ac:dyDescent="0.3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</row>
    <row r="8" spans="1:20" ht="15" thickBot="1" x14ac:dyDescent="0.35">
      <c r="A8" s="106" t="s">
        <v>2</v>
      </c>
      <c r="B8" s="108"/>
      <c r="C8" s="108"/>
      <c r="D8" s="108"/>
      <c r="E8" s="108"/>
      <c r="F8" s="108"/>
      <c r="G8" s="108"/>
      <c r="H8" s="107"/>
      <c r="I8" s="9"/>
      <c r="J8" s="8"/>
      <c r="K8" s="106" t="s">
        <v>3</v>
      </c>
      <c r="L8" s="108"/>
      <c r="M8" s="108"/>
      <c r="N8" s="108"/>
      <c r="O8" s="108"/>
      <c r="P8" s="108"/>
      <c r="Q8" s="108"/>
      <c r="R8" s="108"/>
      <c r="S8" s="108"/>
      <c r="T8" s="107"/>
    </row>
    <row r="9" spans="1:20" x14ac:dyDescent="0.3">
      <c r="A9" s="114" t="s">
        <v>4</v>
      </c>
      <c r="B9" s="115"/>
      <c r="C9" s="115"/>
      <c r="D9" s="115"/>
      <c r="E9" s="115"/>
      <c r="F9" s="115"/>
      <c r="G9" s="115"/>
      <c r="H9" s="116"/>
      <c r="I9" s="9"/>
      <c r="J9" s="8"/>
      <c r="K9" s="117"/>
      <c r="L9" s="115"/>
      <c r="M9" s="115"/>
      <c r="N9" s="115"/>
      <c r="O9" s="115"/>
      <c r="P9" s="115"/>
      <c r="Q9" s="115"/>
      <c r="R9" s="115"/>
      <c r="S9" s="115"/>
      <c r="T9" s="116"/>
    </row>
    <row r="10" spans="1:20" x14ac:dyDescent="0.3">
      <c r="A10" s="93" t="s">
        <v>5</v>
      </c>
      <c r="B10" s="94"/>
      <c r="C10" s="94"/>
      <c r="D10" s="94"/>
      <c r="E10" s="94"/>
      <c r="F10" s="94"/>
      <c r="G10" s="94"/>
      <c r="H10" s="95"/>
      <c r="I10" s="9"/>
      <c r="J10" s="8"/>
      <c r="K10" s="97"/>
      <c r="L10" s="96"/>
      <c r="M10" s="96"/>
      <c r="N10" s="96"/>
      <c r="O10" s="96"/>
      <c r="P10" s="96"/>
      <c r="Q10" s="96"/>
      <c r="R10" s="96"/>
      <c r="S10" s="96"/>
      <c r="T10" s="95"/>
    </row>
    <row r="11" spans="1:20" x14ac:dyDescent="0.3">
      <c r="A11" s="93" t="s">
        <v>6</v>
      </c>
      <c r="B11" s="94"/>
      <c r="C11" s="94"/>
      <c r="D11" s="94"/>
      <c r="E11" s="94"/>
      <c r="F11" s="94"/>
      <c r="G11" s="94"/>
      <c r="H11" s="95"/>
      <c r="I11" s="9"/>
      <c r="J11" s="8"/>
      <c r="K11" s="93"/>
      <c r="L11" s="96"/>
      <c r="M11" s="96"/>
      <c r="N11" s="96"/>
      <c r="O11" s="96"/>
      <c r="P11" s="96"/>
      <c r="Q11" s="96"/>
      <c r="R11" s="96"/>
      <c r="S11" s="96"/>
      <c r="T11" s="95"/>
    </row>
    <row r="12" spans="1:20" x14ac:dyDescent="0.3">
      <c r="A12" s="93" t="s">
        <v>7</v>
      </c>
      <c r="B12" s="94"/>
      <c r="C12" s="94"/>
      <c r="D12" s="94"/>
      <c r="E12" s="94"/>
      <c r="F12" s="94"/>
      <c r="G12" s="94"/>
      <c r="H12" s="95"/>
      <c r="I12" s="14"/>
      <c r="J12" s="8"/>
      <c r="K12" s="97"/>
      <c r="L12" s="94"/>
      <c r="M12" s="94"/>
      <c r="N12" s="94"/>
      <c r="O12" s="94"/>
      <c r="P12" s="94"/>
      <c r="Q12" s="94"/>
      <c r="R12" s="94"/>
      <c r="S12" s="94"/>
      <c r="T12" s="95"/>
    </row>
    <row r="13" spans="1:20" x14ac:dyDescent="0.3">
      <c r="A13" s="93"/>
      <c r="B13" s="94"/>
      <c r="C13" s="94"/>
      <c r="D13" s="94"/>
      <c r="E13" s="94"/>
      <c r="F13" s="94"/>
      <c r="G13" s="94"/>
      <c r="H13" s="95"/>
      <c r="I13" s="14"/>
      <c r="J13" s="9"/>
      <c r="K13" s="98"/>
      <c r="L13" s="94"/>
      <c r="M13" s="94"/>
      <c r="N13" s="94"/>
      <c r="O13" s="94"/>
      <c r="P13" s="94"/>
      <c r="Q13" s="94"/>
      <c r="R13" s="94"/>
      <c r="S13" s="94"/>
      <c r="T13" s="95"/>
    </row>
    <row r="14" spans="1:20" ht="15" thickBot="1" x14ac:dyDescent="0.35">
      <c r="A14" s="99" t="s">
        <v>8</v>
      </c>
      <c r="B14" s="100"/>
      <c r="C14" s="100"/>
      <c r="D14" s="100"/>
      <c r="E14" s="100"/>
      <c r="F14" s="100"/>
      <c r="G14" s="100"/>
      <c r="H14" s="101"/>
      <c r="I14" s="9"/>
      <c r="J14" s="9"/>
      <c r="K14" s="102"/>
      <c r="L14" s="103"/>
      <c r="M14" s="103"/>
      <c r="N14" s="103"/>
      <c r="O14" s="103"/>
      <c r="P14" s="103"/>
      <c r="Q14" s="103"/>
      <c r="R14" s="103"/>
      <c r="S14" s="103"/>
      <c r="T14" s="104"/>
    </row>
    <row r="15" spans="1:20" ht="15" thickBot="1" x14ac:dyDescent="0.35">
      <c r="A15" s="105"/>
      <c r="B15" s="105"/>
      <c r="C15" s="105"/>
      <c r="D15" s="105"/>
      <c r="E15" s="105"/>
      <c r="F15" s="105"/>
      <c r="G15" s="105"/>
      <c r="H15" s="105"/>
      <c r="I15" s="105"/>
      <c r="J15" s="105"/>
      <c r="K15" s="105"/>
      <c r="L15" s="105"/>
      <c r="M15" s="105"/>
      <c r="N15" s="105"/>
      <c r="O15" s="105"/>
      <c r="P15" s="105"/>
      <c r="Q15" s="105"/>
      <c r="R15" s="105"/>
      <c r="S15" s="105"/>
      <c r="T15" s="105"/>
    </row>
    <row r="16" spans="1:20" ht="15" thickBot="1" x14ac:dyDescent="0.35">
      <c r="A16" s="106" t="s">
        <v>9</v>
      </c>
      <c r="B16" s="107"/>
      <c r="C16" s="65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6"/>
    </row>
    <row r="17" spans="1:20" ht="15" thickBot="1" x14ac:dyDescent="0.35">
      <c r="A17" s="92"/>
      <c r="B17" s="92"/>
      <c r="C17" s="92"/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  <c r="P17" s="92"/>
      <c r="Q17" s="92"/>
      <c r="R17" s="92"/>
      <c r="S17" s="92"/>
      <c r="T17" s="92"/>
    </row>
    <row r="18" spans="1:20" ht="14.4" customHeight="1" x14ac:dyDescent="0.3">
      <c r="A18" s="87" t="s">
        <v>11</v>
      </c>
      <c r="B18" s="89" t="s">
        <v>12</v>
      </c>
      <c r="C18" s="90"/>
      <c r="D18" s="90"/>
      <c r="E18" s="90"/>
      <c r="F18" s="91"/>
      <c r="G18" s="89" t="s">
        <v>14</v>
      </c>
      <c r="H18" s="91"/>
      <c r="I18" s="89" t="s">
        <v>15</v>
      </c>
      <c r="J18" s="90"/>
      <c r="K18" s="91"/>
      <c r="L18" s="71" t="s">
        <v>16</v>
      </c>
      <c r="M18" s="72"/>
      <c r="N18" s="71" t="s">
        <v>17</v>
      </c>
      <c r="O18" s="72"/>
      <c r="P18" s="71" t="s">
        <v>18</v>
      </c>
      <c r="Q18" s="72"/>
      <c r="R18" s="71" t="s">
        <v>19</v>
      </c>
      <c r="S18" s="72"/>
      <c r="T18" s="75" t="s">
        <v>20</v>
      </c>
    </row>
    <row r="19" spans="1:20" ht="15" thickBot="1" x14ac:dyDescent="0.35">
      <c r="A19" s="88"/>
      <c r="B19" s="77" t="s">
        <v>13</v>
      </c>
      <c r="C19" s="78"/>
      <c r="D19" s="78"/>
      <c r="E19" s="78"/>
      <c r="F19" s="79"/>
      <c r="G19" s="77"/>
      <c r="H19" s="79"/>
      <c r="I19" s="77"/>
      <c r="J19" s="78"/>
      <c r="K19" s="79"/>
      <c r="L19" s="73"/>
      <c r="M19" s="74"/>
      <c r="N19" s="73"/>
      <c r="O19" s="74"/>
      <c r="P19" s="73"/>
      <c r="Q19" s="74"/>
      <c r="R19" s="73"/>
      <c r="S19" s="74"/>
      <c r="T19" s="76"/>
    </row>
    <row r="20" spans="1:20" ht="15" thickBot="1" x14ac:dyDescent="0.35">
      <c r="A20" s="25"/>
      <c r="B20" s="62"/>
      <c r="C20" s="63"/>
      <c r="D20" s="63"/>
      <c r="E20" s="63"/>
      <c r="F20" s="64"/>
      <c r="G20" s="65"/>
      <c r="H20" s="66"/>
      <c r="I20" s="65"/>
      <c r="J20" s="67"/>
      <c r="K20" s="66"/>
      <c r="L20" s="54"/>
      <c r="M20" s="55"/>
      <c r="N20" s="54"/>
      <c r="O20" s="55"/>
      <c r="P20" s="85"/>
      <c r="Q20" s="86"/>
      <c r="R20" s="54"/>
      <c r="S20" s="55"/>
      <c r="T20" s="16"/>
    </row>
    <row r="21" spans="1:20" ht="15" thickBot="1" x14ac:dyDescent="0.35">
      <c r="A21" s="39"/>
      <c r="B21" s="39"/>
      <c r="C21" s="39"/>
      <c r="D21" s="39"/>
      <c r="E21" s="39"/>
      <c r="F21" s="39"/>
      <c r="G21" s="39"/>
      <c r="H21" s="39"/>
      <c r="I21" s="80"/>
      <c r="J21" s="80"/>
      <c r="K21" s="80"/>
      <c r="L21" s="81" t="s">
        <v>21</v>
      </c>
      <c r="M21" s="82"/>
      <c r="N21" s="54"/>
      <c r="O21" s="55"/>
      <c r="P21" s="83"/>
      <c r="Q21" s="84"/>
      <c r="R21" s="54"/>
      <c r="S21" s="55"/>
      <c r="T21" s="16"/>
    </row>
    <row r="22" spans="1:20" ht="15" thickBot="1" x14ac:dyDescent="0.35">
      <c r="A22" s="40"/>
      <c r="B22" s="40"/>
      <c r="C22" s="40"/>
      <c r="D22" s="40"/>
      <c r="E22" s="40"/>
      <c r="F22" s="40"/>
      <c r="G22" s="40"/>
      <c r="H22" s="40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</row>
    <row r="23" spans="1:20" ht="29.4" customHeight="1" thickBot="1" x14ac:dyDescent="0.35">
      <c r="A23" s="42"/>
      <c r="B23" s="42"/>
      <c r="C23" s="42"/>
      <c r="D23" s="42"/>
      <c r="E23" s="42"/>
      <c r="F23" s="42"/>
      <c r="G23" s="42"/>
      <c r="H23" s="42"/>
      <c r="I23" s="42"/>
      <c r="J23" s="40"/>
      <c r="K23" s="40"/>
      <c r="L23" s="43"/>
      <c r="M23" s="69" t="s">
        <v>22</v>
      </c>
      <c r="N23" s="70"/>
      <c r="O23" s="52" t="s">
        <v>17</v>
      </c>
      <c r="P23" s="53"/>
      <c r="Q23" s="52" t="s">
        <v>19</v>
      </c>
      <c r="R23" s="53"/>
      <c r="S23" s="52" t="s">
        <v>32</v>
      </c>
      <c r="T23" s="53"/>
    </row>
    <row r="24" spans="1:20" ht="15" thickBot="1" x14ac:dyDescent="0.35">
      <c r="A24" s="42"/>
      <c r="B24" s="42"/>
      <c r="C24" s="42"/>
      <c r="D24" s="42"/>
      <c r="E24" s="42"/>
      <c r="F24" s="42"/>
      <c r="G24" s="42"/>
      <c r="H24" s="42"/>
      <c r="I24" s="42"/>
      <c r="J24" s="40"/>
      <c r="K24" s="40"/>
      <c r="L24" s="43"/>
      <c r="M24" s="50"/>
      <c r="N24" s="51"/>
      <c r="O24" s="46"/>
      <c r="P24" s="47"/>
      <c r="Q24" s="46"/>
      <c r="R24" s="47"/>
      <c r="S24" s="48"/>
      <c r="T24" s="49"/>
    </row>
    <row r="25" spans="1:20" ht="15" thickBot="1" x14ac:dyDescent="0.35">
      <c r="A25" s="42"/>
      <c r="B25" s="42"/>
      <c r="C25" s="42"/>
      <c r="D25" s="42"/>
      <c r="E25" s="42"/>
      <c r="F25" s="42"/>
      <c r="G25" s="42"/>
      <c r="H25" s="42"/>
      <c r="I25" s="42"/>
      <c r="J25" s="40"/>
      <c r="K25" s="40"/>
      <c r="L25" s="43"/>
      <c r="M25" s="44" t="s">
        <v>23</v>
      </c>
      <c r="N25" s="45"/>
      <c r="O25" s="46"/>
      <c r="P25" s="47"/>
      <c r="Q25" s="46"/>
      <c r="R25" s="47"/>
      <c r="S25" s="48"/>
      <c r="T25" s="49"/>
    </row>
    <row r="26" spans="1:20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ht="15.6" x14ac:dyDescent="0.3">
      <c r="A27" s="2"/>
      <c r="I27" s="68" t="s">
        <v>28</v>
      </c>
      <c r="J27" s="68"/>
      <c r="K27" s="68"/>
      <c r="L27" s="68"/>
      <c r="M27" s="68"/>
      <c r="N27" s="68"/>
      <c r="O27" s="38"/>
      <c r="P27" s="38"/>
      <c r="Q27" s="15"/>
      <c r="R27" s="15"/>
      <c r="S27" s="15"/>
      <c r="T27" s="15"/>
    </row>
    <row r="28" spans="1:20" x14ac:dyDescent="0.3">
      <c r="B28" s="13"/>
    </row>
    <row r="29" spans="1:20" ht="15" thickBot="1" x14ac:dyDescent="0.35">
      <c r="A29" s="3" t="s">
        <v>26</v>
      </c>
    </row>
    <row r="30" spans="1:20" ht="15" thickBot="1" x14ac:dyDescent="0.35">
      <c r="A30" s="3" t="s">
        <v>24</v>
      </c>
      <c r="B30" s="56" t="s">
        <v>27</v>
      </c>
      <c r="C30" s="57"/>
      <c r="D30" s="57"/>
      <c r="E30" s="57"/>
      <c r="F30" s="57"/>
      <c r="G30" s="58"/>
    </row>
    <row r="31" spans="1:20" ht="15" thickBot="1" x14ac:dyDescent="0.35">
      <c r="A31" s="4"/>
      <c r="B31" s="59" t="str">
        <f>A10</f>
        <v>Marta Sacawa</v>
      </c>
      <c r="C31" s="60"/>
      <c r="D31" s="60"/>
      <c r="E31" s="60"/>
      <c r="F31" s="60"/>
      <c r="G31" s="61"/>
    </row>
    <row r="32" spans="1:20" ht="15.6" x14ac:dyDescent="0.3">
      <c r="A32" s="2"/>
    </row>
  </sheetData>
  <mergeCells count="73">
    <mergeCell ref="A4:T4"/>
    <mergeCell ref="A1:E2"/>
    <mergeCell ref="F1:H2"/>
    <mergeCell ref="K1:T1"/>
    <mergeCell ref="K2:T2"/>
    <mergeCell ref="A3:E3"/>
    <mergeCell ref="A10:H10"/>
    <mergeCell ref="K10:T10"/>
    <mergeCell ref="A5:D5"/>
    <mergeCell ref="E5:H5"/>
    <mergeCell ref="K5:T5"/>
    <mergeCell ref="A6:D6"/>
    <mergeCell ref="E6:H6"/>
    <mergeCell ref="K6:T6"/>
    <mergeCell ref="A7:T7"/>
    <mergeCell ref="A8:H8"/>
    <mergeCell ref="K8:T8"/>
    <mergeCell ref="A9:H9"/>
    <mergeCell ref="K9:T9"/>
    <mergeCell ref="A17:T17"/>
    <mergeCell ref="A11:H11"/>
    <mergeCell ref="K11:T11"/>
    <mergeCell ref="A12:H12"/>
    <mergeCell ref="K12:T12"/>
    <mergeCell ref="A13:H13"/>
    <mergeCell ref="K13:T13"/>
    <mergeCell ref="A14:H14"/>
    <mergeCell ref="K14:T14"/>
    <mergeCell ref="A15:T15"/>
    <mergeCell ref="A16:B16"/>
    <mergeCell ref="C16:T16"/>
    <mergeCell ref="A18:A19"/>
    <mergeCell ref="B18:F18"/>
    <mergeCell ref="G18:H19"/>
    <mergeCell ref="I18:K19"/>
    <mergeCell ref="L18:M19"/>
    <mergeCell ref="Q23:R23"/>
    <mergeCell ref="P18:Q19"/>
    <mergeCell ref="R18:S19"/>
    <mergeCell ref="T18:T19"/>
    <mergeCell ref="B19:F19"/>
    <mergeCell ref="I21:K21"/>
    <mergeCell ref="L21:M21"/>
    <mergeCell ref="N21:O21"/>
    <mergeCell ref="P21:Q21"/>
    <mergeCell ref="N18:O19"/>
    <mergeCell ref="L20:M20"/>
    <mergeCell ref="N20:O20"/>
    <mergeCell ref="P20:Q20"/>
    <mergeCell ref="R20:S20"/>
    <mergeCell ref="B30:G30"/>
    <mergeCell ref="B31:G31"/>
    <mergeCell ref="B20:F20"/>
    <mergeCell ref="G20:H20"/>
    <mergeCell ref="I20:K20"/>
    <mergeCell ref="I27:N27"/>
    <mergeCell ref="M23:N23"/>
    <mergeCell ref="O27:P27"/>
    <mergeCell ref="A21:H22"/>
    <mergeCell ref="I22:T22"/>
    <mergeCell ref="A23:I25"/>
    <mergeCell ref="J23:L25"/>
    <mergeCell ref="M25:N25"/>
    <mergeCell ref="O25:P25"/>
    <mergeCell ref="Q25:R25"/>
    <mergeCell ref="S25:T25"/>
    <mergeCell ref="M24:N24"/>
    <mergeCell ref="O24:P24"/>
    <mergeCell ref="Q24:R24"/>
    <mergeCell ref="S24:T24"/>
    <mergeCell ref="S23:T23"/>
    <mergeCell ref="R21:S21"/>
    <mergeCell ref="O23:P2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21EA6-12A2-4A99-9659-34D4928AAF76}">
  <sheetPr codeName="Sheet2"/>
  <dimension ref="A1:S20"/>
  <sheetViews>
    <sheetView tabSelected="1" zoomScale="90" zoomScaleNormal="90" workbookViewId="0">
      <selection activeCell="P22" sqref="P22"/>
    </sheetView>
  </sheetViews>
  <sheetFormatPr defaultRowHeight="14.4" x14ac:dyDescent="0.3"/>
  <cols>
    <col min="1" max="1" width="18.77734375" bestFit="1" customWidth="1"/>
    <col min="2" max="2" width="13.44140625" bestFit="1" customWidth="1"/>
    <col min="3" max="3" width="27.21875" bestFit="1" customWidth="1"/>
    <col min="4" max="5" width="4.77734375" bestFit="1" customWidth="1"/>
    <col min="6" max="6" width="10.44140625" bestFit="1" customWidth="1"/>
    <col min="7" max="7" width="13.21875" bestFit="1" customWidth="1"/>
    <col min="8" max="8" width="10.44140625" bestFit="1" customWidth="1"/>
    <col min="9" max="9" width="9.88671875" bestFit="1" customWidth="1"/>
    <col min="10" max="10" width="13.109375" bestFit="1" customWidth="1"/>
    <col min="11" max="11" width="23.33203125" bestFit="1" customWidth="1"/>
    <col min="12" max="12" width="24.88671875" bestFit="1" customWidth="1"/>
    <col min="13" max="13" width="19" bestFit="1" customWidth="1"/>
    <col min="14" max="14" width="15.109375" bestFit="1" customWidth="1"/>
    <col min="15" max="15" width="11.6640625" bestFit="1" customWidth="1"/>
    <col min="16" max="16" width="21.33203125" bestFit="1" customWidth="1"/>
    <col min="17" max="17" width="10.44140625" style="22" bestFit="1" customWidth="1"/>
    <col min="18" max="18" width="14.5546875" bestFit="1" customWidth="1"/>
    <col min="19" max="19" width="11.109375" customWidth="1"/>
  </cols>
  <sheetData>
    <row r="1" spans="1:19" s="30" customFormat="1" ht="43.2" x14ac:dyDescent="0.3">
      <c r="A1" s="31" t="s">
        <v>73</v>
      </c>
      <c r="B1" s="31" t="s">
        <v>38</v>
      </c>
      <c r="C1" s="32" t="s">
        <v>74</v>
      </c>
      <c r="D1" s="32" t="s">
        <v>14</v>
      </c>
      <c r="E1" s="32" t="s">
        <v>15</v>
      </c>
      <c r="F1" s="32" t="s">
        <v>16</v>
      </c>
      <c r="G1" s="32" t="s">
        <v>17</v>
      </c>
      <c r="H1" s="32" t="s">
        <v>75</v>
      </c>
      <c r="I1" s="32" t="s">
        <v>76</v>
      </c>
      <c r="J1" s="32" t="s">
        <v>20</v>
      </c>
      <c r="K1" s="33" t="s">
        <v>77</v>
      </c>
      <c r="L1" s="33" t="s">
        <v>78</v>
      </c>
      <c r="M1" s="33" t="s">
        <v>79</v>
      </c>
      <c r="N1" s="33" t="s">
        <v>80</v>
      </c>
      <c r="O1" s="33" t="s">
        <v>81</v>
      </c>
      <c r="P1" s="33" t="s">
        <v>82</v>
      </c>
      <c r="Q1" s="33" t="s">
        <v>83</v>
      </c>
      <c r="R1" s="34" t="s">
        <v>416</v>
      </c>
      <c r="S1" s="35" t="s">
        <v>417</v>
      </c>
    </row>
    <row r="2" spans="1:19" x14ac:dyDescent="0.3">
      <c r="A2" s="17">
        <v>1</v>
      </c>
      <c r="B2" s="17" t="s">
        <v>43</v>
      </c>
      <c r="C2" s="17" t="s">
        <v>387</v>
      </c>
      <c r="D2" s="17" t="s">
        <v>33</v>
      </c>
      <c r="E2" s="17">
        <v>1</v>
      </c>
      <c r="F2" s="17" t="s">
        <v>388</v>
      </c>
      <c r="G2" s="17" t="s">
        <v>388</v>
      </c>
      <c r="H2" s="17" t="s">
        <v>389</v>
      </c>
      <c r="I2" s="17" t="s">
        <v>390</v>
      </c>
      <c r="J2" s="17" t="s">
        <v>391</v>
      </c>
      <c r="K2" s="17" t="s">
        <v>388</v>
      </c>
      <c r="L2" s="17" t="s">
        <v>390</v>
      </c>
      <c r="M2" s="17" t="s">
        <v>391</v>
      </c>
      <c r="N2" s="26">
        <v>43994</v>
      </c>
      <c r="O2" s="26">
        <v>43983</v>
      </c>
      <c r="P2" s="36">
        <v>43982</v>
      </c>
      <c r="Q2" s="28" t="s">
        <v>84</v>
      </c>
      <c r="R2" s="17" t="s">
        <v>420</v>
      </c>
      <c r="S2" s="17" t="s">
        <v>419</v>
      </c>
    </row>
    <row r="3" spans="1:19" x14ac:dyDescent="0.3">
      <c r="A3" s="17">
        <v>2</v>
      </c>
      <c r="B3" s="17" t="s">
        <v>85</v>
      </c>
      <c r="C3" s="17" t="s">
        <v>387</v>
      </c>
      <c r="D3" s="17" t="s">
        <v>33</v>
      </c>
      <c r="E3" s="17">
        <v>1</v>
      </c>
      <c r="F3" s="17" t="s">
        <v>388</v>
      </c>
      <c r="G3" s="17" t="s">
        <v>388</v>
      </c>
      <c r="H3" s="17" t="s">
        <v>389</v>
      </c>
      <c r="I3" s="17" t="s">
        <v>390</v>
      </c>
      <c r="J3" s="17" t="s">
        <v>391</v>
      </c>
      <c r="K3" s="17" t="s">
        <v>396</v>
      </c>
      <c r="L3" s="17" t="s">
        <v>397</v>
      </c>
      <c r="M3" s="17" t="s">
        <v>398</v>
      </c>
      <c r="N3" s="26">
        <v>43994</v>
      </c>
      <c r="O3" s="26">
        <v>43983</v>
      </c>
      <c r="P3" s="36">
        <v>43982</v>
      </c>
      <c r="Q3" s="28" t="s">
        <v>399</v>
      </c>
      <c r="R3" s="17" t="s">
        <v>420</v>
      </c>
      <c r="S3" s="17" t="s">
        <v>419</v>
      </c>
    </row>
    <row r="4" spans="1:19" x14ac:dyDescent="0.3">
      <c r="A4">
        <v>2</v>
      </c>
      <c r="B4" t="s">
        <v>85</v>
      </c>
      <c r="C4" t="s">
        <v>48</v>
      </c>
      <c r="D4" t="s">
        <v>33</v>
      </c>
      <c r="E4">
        <v>1</v>
      </c>
      <c r="F4" t="s">
        <v>393</v>
      </c>
      <c r="G4" t="s">
        <v>393</v>
      </c>
      <c r="H4" t="s">
        <v>392</v>
      </c>
      <c r="I4" t="s">
        <v>394</v>
      </c>
      <c r="J4" t="s">
        <v>395</v>
      </c>
      <c r="K4" t="s">
        <v>396</v>
      </c>
      <c r="L4" t="s">
        <v>397</v>
      </c>
      <c r="M4" t="s">
        <v>398</v>
      </c>
      <c r="N4" s="21">
        <v>43994</v>
      </c>
      <c r="O4" s="21">
        <v>43983</v>
      </c>
      <c r="P4" s="37">
        <v>43982</v>
      </c>
      <c r="Q4" s="29" t="s">
        <v>399</v>
      </c>
      <c r="R4" t="s">
        <v>420</v>
      </c>
      <c r="S4" t="s">
        <v>419</v>
      </c>
    </row>
    <row r="5" spans="1:19" x14ac:dyDescent="0.3">
      <c r="A5" s="17">
        <v>9</v>
      </c>
      <c r="B5" s="17" t="s">
        <v>92</v>
      </c>
      <c r="C5" s="17" t="s">
        <v>405</v>
      </c>
      <c r="D5" s="17" t="s">
        <v>33</v>
      </c>
      <c r="E5" s="17">
        <v>1</v>
      </c>
      <c r="F5" s="17" t="s">
        <v>406</v>
      </c>
      <c r="G5" s="17" t="s">
        <v>406</v>
      </c>
      <c r="H5" s="17" t="s">
        <v>407</v>
      </c>
      <c r="I5" s="17" t="s">
        <v>408</v>
      </c>
      <c r="J5" s="17" t="s">
        <v>409</v>
      </c>
      <c r="K5" s="17" t="s">
        <v>410</v>
      </c>
      <c r="L5" s="17" t="s">
        <v>411</v>
      </c>
      <c r="M5" s="17" t="s">
        <v>412</v>
      </c>
      <c r="N5" s="26">
        <v>43994</v>
      </c>
      <c r="O5" s="26">
        <v>43983</v>
      </c>
      <c r="P5" s="36">
        <v>43982</v>
      </c>
      <c r="Q5" s="28" t="s">
        <v>413</v>
      </c>
      <c r="R5" s="17" t="s">
        <v>420</v>
      </c>
      <c r="S5" s="17" t="s">
        <v>419</v>
      </c>
    </row>
    <row r="6" spans="1:19" x14ac:dyDescent="0.3">
      <c r="A6">
        <v>9</v>
      </c>
      <c r="B6" t="s">
        <v>92</v>
      </c>
      <c r="C6" t="s">
        <v>48</v>
      </c>
      <c r="D6" t="s">
        <v>33</v>
      </c>
      <c r="E6">
        <v>1</v>
      </c>
      <c r="F6" t="s">
        <v>393</v>
      </c>
      <c r="G6" t="s">
        <v>393</v>
      </c>
      <c r="H6" t="s">
        <v>392</v>
      </c>
      <c r="I6" t="s">
        <v>394</v>
      </c>
      <c r="J6" t="s">
        <v>395</v>
      </c>
      <c r="K6" t="s">
        <v>410</v>
      </c>
      <c r="L6" t="s">
        <v>411</v>
      </c>
      <c r="M6" t="s">
        <v>412</v>
      </c>
      <c r="N6" s="21">
        <v>43994</v>
      </c>
      <c r="O6" s="21">
        <v>43983</v>
      </c>
      <c r="P6" s="37">
        <v>43982</v>
      </c>
      <c r="Q6" s="29" t="s">
        <v>413</v>
      </c>
      <c r="R6" t="s">
        <v>420</v>
      </c>
      <c r="S6" t="s">
        <v>419</v>
      </c>
    </row>
    <row r="7" spans="1:19" x14ac:dyDescent="0.3">
      <c r="A7">
        <v>9</v>
      </c>
      <c r="B7" t="s">
        <v>92</v>
      </c>
      <c r="C7" t="s">
        <v>387</v>
      </c>
      <c r="D7" t="s">
        <v>33</v>
      </c>
      <c r="E7">
        <v>1</v>
      </c>
      <c r="F7" t="s">
        <v>388</v>
      </c>
      <c r="G7" t="s">
        <v>388</v>
      </c>
      <c r="H7" t="s">
        <v>389</v>
      </c>
      <c r="I7" t="s">
        <v>390</v>
      </c>
      <c r="J7" t="s">
        <v>391</v>
      </c>
      <c r="K7" t="s">
        <v>410</v>
      </c>
      <c r="L7" t="s">
        <v>411</v>
      </c>
      <c r="M7" t="s">
        <v>412</v>
      </c>
      <c r="N7" s="21">
        <v>43994</v>
      </c>
      <c r="O7" s="21">
        <v>43983</v>
      </c>
      <c r="P7" s="37">
        <v>43982</v>
      </c>
      <c r="Q7" s="29" t="s">
        <v>413</v>
      </c>
      <c r="R7" t="s">
        <v>420</v>
      </c>
      <c r="S7" t="s">
        <v>419</v>
      </c>
    </row>
    <row r="8" spans="1:19" x14ac:dyDescent="0.3">
      <c r="A8" s="17">
        <v>1</v>
      </c>
      <c r="B8" s="17" t="s">
        <v>43</v>
      </c>
      <c r="C8" s="17" t="s">
        <v>414</v>
      </c>
      <c r="D8" s="17" t="s">
        <v>33</v>
      </c>
      <c r="E8" s="17">
        <v>1</v>
      </c>
      <c r="F8" s="17" t="s">
        <v>388</v>
      </c>
      <c r="G8" s="17" t="s">
        <v>388</v>
      </c>
      <c r="H8" s="17" t="s">
        <v>389</v>
      </c>
      <c r="I8" s="17" t="s">
        <v>390</v>
      </c>
      <c r="J8" s="17" t="s">
        <v>391</v>
      </c>
      <c r="K8" s="17" t="s">
        <v>396</v>
      </c>
      <c r="L8" s="17" t="s">
        <v>397</v>
      </c>
      <c r="M8" s="17" t="s">
        <v>398</v>
      </c>
      <c r="N8" s="26">
        <v>44024</v>
      </c>
      <c r="O8" s="26">
        <v>44013</v>
      </c>
      <c r="P8" s="36">
        <v>44012</v>
      </c>
      <c r="Q8" s="28" t="s">
        <v>415</v>
      </c>
      <c r="R8" s="17" t="s">
        <v>420</v>
      </c>
      <c r="S8" s="17" t="s">
        <v>419</v>
      </c>
    </row>
    <row r="9" spans="1:19" x14ac:dyDescent="0.3">
      <c r="A9">
        <v>1</v>
      </c>
      <c r="B9" t="s">
        <v>43</v>
      </c>
      <c r="C9" t="s">
        <v>48</v>
      </c>
      <c r="D9" t="s">
        <v>33</v>
      </c>
      <c r="E9">
        <v>1</v>
      </c>
      <c r="F9" t="s">
        <v>393</v>
      </c>
      <c r="G9" t="s">
        <v>393</v>
      </c>
      <c r="H9" t="s">
        <v>392</v>
      </c>
      <c r="I9" t="s">
        <v>394</v>
      </c>
      <c r="J9" t="s">
        <v>395</v>
      </c>
      <c r="K9" t="s">
        <v>396</v>
      </c>
      <c r="L9" t="s">
        <v>397</v>
      </c>
      <c r="M9" t="s">
        <v>398</v>
      </c>
      <c r="N9" s="21">
        <v>44024</v>
      </c>
      <c r="O9" s="21">
        <v>44013</v>
      </c>
      <c r="P9" s="37">
        <v>44012</v>
      </c>
      <c r="Q9" s="29" t="s">
        <v>415</v>
      </c>
      <c r="R9" t="s">
        <v>420</v>
      </c>
      <c r="S9" t="s">
        <v>419</v>
      </c>
    </row>
    <row r="10" spans="1:19" x14ac:dyDescent="0.3">
      <c r="A10" s="17">
        <v>5</v>
      </c>
      <c r="B10" s="17" t="s">
        <v>88</v>
      </c>
      <c r="C10" s="17" t="s">
        <v>422</v>
      </c>
      <c r="D10" s="17" t="s">
        <v>33</v>
      </c>
      <c r="E10" s="17">
        <v>1</v>
      </c>
      <c r="F10" s="17" t="s">
        <v>388</v>
      </c>
      <c r="G10" s="17" t="s">
        <v>388</v>
      </c>
      <c r="H10" s="17" t="s">
        <v>389</v>
      </c>
      <c r="I10" s="17" t="s">
        <v>390</v>
      </c>
      <c r="J10" s="17" t="s">
        <v>391</v>
      </c>
      <c r="K10" s="17" t="s">
        <v>396</v>
      </c>
      <c r="L10" s="17" t="s">
        <v>397</v>
      </c>
      <c r="M10" s="17" t="s">
        <v>398</v>
      </c>
      <c r="N10" s="26">
        <v>43873</v>
      </c>
      <c r="O10" s="26">
        <v>43864</v>
      </c>
      <c r="P10" s="26">
        <v>43861</v>
      </c>
      <c r="Q10" s="27" t="s">
        <v>423</v>
      </c>
      <c r="R10" s="17" t="s">
        <v>420</v>
      </c>
      <c r="S10" s="17" t="s">
        <v>419</v>
      </c>
    </row>
    <row r="11" spans="1:19" x14ac:dyDescent="0.3">
      <c r="A11">
        <v>5</v>
      </c>
      <c r="B11" t="s">
        <v>88</v>
      </c>
      <c r="C11" t="s">
        <v>48</v>
      </c>
      <c r="D11" t="s">
        <v>33</v>
      </c>
      <c r="E11">
        <v>1</v>
      </c>
      <c r="F11" t="s">
        <v>393</v>
      </c>
      <c r="G11" t="s">
        <v>393</v>
      </c>
      <c r="H11" t="s">
        <v>392</v>
      </c>
      <c r="I11" t="s">
        <v>394</v>
      </c>
      <c r="J11" t="s">
        <v>395</v>
      </c>
      <c r="K11" t="s">
        <v>396</v>
      </c>
      <c r="L11" t="s">
        <v>397</v>
      </c>
      <c r="M11" t="s">
        <v>398</v>
      </c>
      <c r="N11" s="21">
        <v>43873</v>
      </c>
      <c r="O11" s="21">
        <v>43864</v>
      </c>
      <c r="P11" s="21">
        <v>43861</v>
      </c>
      <c r="Q11" s="22" t="s">
        <v>423</v>
      </c>
      <c r="R11" t="s">
        <v>420</v>
      </c>
      <c r="S11" t="s">
        <v>419</v>
      </c>
    </row>
    <row r="12" spans="1:19" x14ac:dyDescent="0.3">
      <c r="A12" s="17">
        <v>12</v>
      </c>
      <c r="B12" s="17" t="s">
        <v>95</v>
      </c>
      <c r="C12" s="17" t="s">
        <v>424</v>
      </c>
      <c r="D12" s="17" t="s">
        <v>33</v>
      </c>
      <c r="E12" s="17">
        <v>1</v>
      </c>
      <c r="F12" s="17" t="s">
        <v>388</v>
      </c>
      <c r="G12" s="17" t="s">
        <v>388</v>
      </c>
      <c r="H12" s="17" t="s">
        <v>389</v>
      </c>
      <c r="I12" s="17" t="s">
        <v>390</v>
      </c>
      <c r="J12" s="17" t="s">
        <v>391</v>
      </c>
      <c r="K12" s="17" t="s">
        <v>425</v>
      </c>
      <c r="L12" s="17" t="s">
        <v>426</v>
      </c>
      <c r="M12" s="17" t="s">
        <v>427</v>
      </c>
      <c r="N12" s="26">
        <v>44086</v>
      </c>
      <c r="O12" s="26">
        <v>44075</v>
      </c>
      <c r="P12" s="26">
        <v>44074</v>
      </c>
      <c r="Q12" s="27" t="s">
        <v>428</v>
      </c>
      <c r="R12" s="17" t="s">
        <v>420</v>
      </c>
      <c r="S12" s="17" t="s">
        <v>419</v>
      </c>
    </row>
    <row r="13" spans="1:19" x14ac:dyDescent="0.3">
      <c r="A13">
        <v>12</v>
      </c>
      <c r="B13" t="s">
        <v>95</v>
      </c>
      <c r="C13" t="s">
        <v>429</v>
      </c>
      <c r="D13" t="s">
        <v>33</v>
      </c>
      <c r="E13">
        <v>1</v>
      </c>
      <c r="F13" t="s">
        <v>406</v>
      </c>
      <c r="G13" t="s">
        <v>406</v>
      </c>
      <c r="H13" t="s">
        <v>407</v>
      </c>
      <c r="I13" t="s">
        <v>408</v>
      </c>
      <c r="J13" t="s">
        <v>409</v>
      </c>
      <c r="K13" t="s">
        <v>425</v>
      </c>
      <c r="L13" t="s">
        <v>426</v>
      </c>
      <c r="M13" t="s">
        <v>427</v>
      </c>
      <c r="N13" s="21">
        <v>44086</v>
      </c>
      <c r="O13" s="21">
        <v>44075</v>
      </c>
      <c r="P13" s="21">
        <v>44074</v>
      </c>
      <c r="Q13" s="22" t="s">
        <v>428</v>
      </c>
      <c r="R13" t="s">
        <v>420</v>
      </c>
      <c r="S13" t="s">
        <v>419</v>
      </c>
    </row>
    <row r="14" spans="1:19" x14ac:dyDescent="0.3">
      <c r="A14" s="17">
        <v>100</v>
      </c>
      <c r="B14" s="17" t="s">
        <v>183</v>
      </c>
      <c r="C14" s="17" t="s">
        <v>422</v>
      </c>
      <c r="D14" s="17" t="s">
        <v>33</v>
      </c>
      <c r="E14" s="17">
        <v>1</v>
      </c>
      <c r="F14" s="17" t="s">
        <v>388</v>
      </c>
      <c r="G14" s="17" t="s">
        <v>388</v>
      </c>
      <c r="H14" s="17" t="s">
        <v>389</v>
      </c>
      <c r="I14" s="17" t="s">
        <v>390</v>
      </c>
      <c r="J14" s="17" t="s">
        <v>391</v>
      </c>
      <c r="K14" s="17" t="s">
        <v>410</v>
      </c>
      <c r="L14" s="17" t="s">
        <v>411</v>
      </c>
      <c r="M14" s="17" t="s">
        <v>412</v>
      </c>
      <c r="N14" s="26">
        <v>43873</v>
      </c>
      <c r="O14" s="26">
        <v>43864</v>
      </c>
      <c r="P14" s="26">
        <v>43861</v>
      </c>
      <c r="Q14" s="27" t="s">
        <v>430</v>
      </c>
      <c r="R14" s="17" t="s">
        <v>420</v>
      </c>
      <c r="S14" s="17" t="s">
        <v>419</v>
      </c>
    </row>
    <row r="15" spans="1:19" x14ac:dyDescent="0.3">
      <c r="A15">
        <v>100</v>
      </c>
      <c r="B15" t="s">
        <v>183</v>
      </c>
      <c r="C15" t="s">
        <v>48</v>
      </c>
      <c r="D15" t="s">
        <v>33</v>
      </c>
      <c r="E15">
        <v>1</v>
      </c>
      <c r="F15" t="s">
        <v>393</v>
      </c>
      <c r="G15" t="s">
        <v>393</v>
      </c>
      <c r="H15" t="s">
        <v>392</v>
      </c>
      <c r="I15" t="s">
        <v>394</v>
      </c>
      <c r="J15" t="s">
        <v>395</v>
      </c>
      <c r="K15" t="s">
        <v>410</v>
      </c>
      <c r="L15" t="s">
        <v>411</v>
      </c>
      <c r="M15" t="s">
        <v>412</v>
      </c>
      <c r="N15" s="21">
        <v>43873</v>
      </c>
      <c r="O15" s="21">
        <v>43864</v>
      </c>
      <c r="P15" s="21">
        <v>43861</v>
      </c>
      <c r="Q15" s="22" t="s">
        <v>430</v>
      </c>
      <c r="R15" t="s">
        <v>420</v>
      </c>
      <c r="S15" t="s">
        <v>419</v>
      </c>
    </row>
    <row r="16" spans="1:19" x14ac:dyDescent="0.3">
      <c r="A16">
        <v>100</v>
      </c>
      <c r="B16" t="s">
        <v>183</v>
      </c>
      <c r="C16" t="s">
        <v>386</v>
      </c>
      <c r="D16" t="s">
        <v>33</v>
      </c>
      <c r="E16">
        <v>1</v>
      </c>
      <c r="F16" t="s">
        <v>406</v>
      </c>
      <c r="G16" t="s">
        <v>406</v>
      </c>
      <c r="H16" t="s">
        <v>407</v>
      </c>
      <c r="I16" t="s">
        <v>408</v>
      </c>
      <c r="J16" t="s">
        <v>409</v>
      </c>
      <c r="K16" t="s">
        <v>410</v>
      </c>
      <c r="L16" t="s">
        <v>411</v>
      </c>
      <c r="M16" t="s">
        <v>412</v>
      </c>
      <c r="N16" s="21">
        <v>43873</v>
      </c>
      <c r="O16" s="21">
        <v>43864</v>
      </c>
      <c r="P16" s="21">
        <v>43861</v>
      </c>
      <c r="Q16" s="22" t="s">
        <v>430</v>
      </c>
      <c r="R16" t="s">
        <v>420</v>
      </c>
      <c r="S16" t="s">
        <v>419</v>
      </c>
    </row>
    <row r="17" spans="1:19" x14ac:dyDescent="0.3">
      <c r="A17" s="17">
        <v>2</v>
      </c>
      <c r="B17" s="17" t="s">
        <v>85</v>
      </c>
      <c r="C17" s="17" t="s">
        <v>48</v>
      </c>
      <c r="D17" s="17" t="s">
        <v>33</v>
      </c>
      <c r="E17" s="17">
        <v>1</v>
      </c>
      <c r="F17" s="17" t="s">
        <v>393</v>
      </c>
      <c r="G17" s="17" t="s">
        <v>393</v>
      </c>
      <c r="H17" s="17" t="s">
        <v>392</v>
      </c>
      <c r="I17" s="17" t="s">
        <v>394</v>
      </c>
      <c r="J17" s="17" t="s">
        <v>395</v>
      </c>
      <c r="K17" s="17" t="s">
        <v>432</v>
      </c>
      <c r="L17" s="17" t="s">
        <v>433</v>
      </c>
      <c r="M17" s="17" t="s">
        <v>434</v>
      </c>
      <c r="N17" s="26">
        <v>43873</v>
      </c>
      <c r="O17" s="26">
        <v>43864</v>
      </c>
      <c r="P17" s="26">
        <v>43861</v>
      </c>
      <c r="Q17" s="27" t="s">
        <v>435</v>
      </c>
      <c r="R17" s="17" t="s">
        <v>420</v>
      </c>
      <c r="S17" s="17" t="s">
        <v>419</v>
      </c>
    </row>
    <row r="18" spans="1:19" x14ac:dyDescent="0.3">
      <c r="A18">
        <v>2</v>
      </c>
      <c r="B18" t="s">
        <v>85</v>
      </c>
      <c r="C18" t="s">
        <v>48</v>
      </c>
      <c r="D18" t="s">
        <v>33</v>
      </c>
      <c r="E18">
        <v>1</v>
      </c>
      <c r="F18" t="s">
        <v>393</v>
      </c>
      <c r="G18" t="s">
        <v>393</v>
      </c>
      <c r="H18" t="s">
        <v>392</v>
      </c>
      <c r="I18" t="s">
        <v>394</v>
      </c>
      <c r="J18" t="s">
        <v>395</v>
      </c>
      <c r="K18" t="s">
        <v>432</v>
      </c>
      <c r="L18" t="s">
        <v>433</v>
      </c>
      <c r="M18" t="s">
        <v>434</v>
      </c>
      <c r="N18" s="21">
        <v>43873</v>
      </c>
      <c r="O18" s="21">
        <v>43864</v>
      </c>
      <c r="P18" s="21">
        <v>43861</v>
      </c>
      <c r="Q18" s="22" t="s">
        <v>435</v>
      </c>
      <c r="R18" t="s">
        <v>420</v>
      </c>
      <c r="S18" t="s">
        <v>419</v>
      </c>
    </row>
    <row r="19" spans="1:19" x14ac:dyDescent="0.3">
      <c r="A19" s="17">
        <v>7</v>
      </c>
      <c r="B19" s="17" t="s">
        <v>90</v>
      </c>
      <c r="C19" s="17" t="s">
        <v>48</v>
      </c>
      <c r="D19" s="17" t="s">
        <v>33</v>
      </c>
      <c r="E19" s="17">
        <v>1</v>
      </c>
      <c r="F19" s="17" t="s">
        <v>393</v>
      </c>
      <c r="G19" s="17" t="s">
        <v>393</v>
      </c>
      <c r="H19" s="17" t="s">
        <v>392</v>
      </c>
      <c r="I19" s="17" t="s">
        <v>394</v>
      </c>
      <c r="J19" s="17" t="s">
        <v>395</v>
      </c>
      <c r="K19" s="17" t="s">
        <v>393</v>
      </c>
      <c r="L19" s="17" t="s">
        <v>394</v>
      </c>
      <c r="M19" s="17" t="s">
        <v>395</v>
      </c>
      <c r="N19" s="26">
        <v>43873</v>
      </c>
      <c r="O19" s="26">
        <v>43864</v>
      </c>
      <c r="P19" s="26">
        <v>43861</v>
      </c>
      <c r="Q19" s="27" t="s">
        <v>436</v>
      </c>
      <c r="R19" s="17" t="s">
        <v>420</v>
      </c>
      <c r="S19" s="17" t="s">
        <v>419</v>
      </c>
    </row>
    <row r="20" spans="1:19" x14ac:dyDescent="0.3">
      <c r="A20" s="17">
        <v>11</v>
      </c>
      <c r="B20" s="17" t="s">
        <v>94</v>
      </c>
      <c r="C20" s="17" t="s">
        <v>422</v>
      </c>
      <c r="D20" s="17" t="s">
        <v>33</v>
      </c>
      <c r="E20" s="17">
        <v>1</v>
      </c>
      <c r="F20" s="17" t="s">
        <v>388</v>
      </c>
      <c r="G20" s="17" t="s">
        <v>388</v>
      </c>
      <c r="H20" s="17" t="s">
        <v>389</v>
      </c>
      <c r="I20" s="17" t="s">
        <v>390</v>
      </c>
      <c r="J20" s="17" t="s">
        <v>391</v>
      </c>
      <c r="K20" s="17" t="s">
        <v>388</v>
      </c>
      <c r="L20" s="17" t="s">
        <v>390</v>
      </c>
      <c r="M20" s="17" t="s">
        <v>391</v>
      </c>
      <c r="N20" s="26">
        <v>43873</v>
      </c>
      <c r="O20" s="26">
        <v>43864</v>
      </c>
      <c r="P20" s="26">
        <v>43861</v>
      </c>
      <c r="Q20" s="27" t="s">
        <v>437</v>
      </c>
      <c r="R20" s="17" t="s">
        <v>420</v>
      </c>
      <c r="S20" s="17" t="s">
        <v>419</v>
      </c>
    </row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23BCBE7-4233-49FE-9CC4-58FB973E0E15}">
          <x14:formula1>
            <xm:f>Listy!$J$2:$J$4</xm:f>
          </x14:formula1>
          <xm:sqref>R2:R1048576</xm:sqref>
        </x14:dataValidation>
        <x14:dataValidation type="list" allowBlank="1" showInputMessage="1" showErrorMessage="1" xr:uid="{13C4579A-51D8-48C4-B53C-4383F570390A}">
          <x14:formula1>
            <xm:f>Listy!$K$2:$K$4</xm:f>
          </x14:formula1>
          <xm:sqref>S2:S1048576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57F9E-32AE-496A-BC4C-B68D4822705C}">
  <sheetPr codeName="Sheet7"/>
  <dimension ref="A1:S2"/>
  <sheetViews>
    <sheetView topLeftCell="B1" workbookViewId="0">
      <selection activeCell="C41" sqref="C41"/>
    </sheetView>
  </sheetViews>
  <sheetFormatPr defaultRowHeight="14.4" x14ac:dyDescent="0.3"/>
  <cols>
    <col min="1" max="1" width="19.6640625" bestFit="1" customWidth="1"/>
    <col min="2" max="2" width="13.33203125" bestFit="1" customWidth="1"/>
    <col min="3" max="3" width="28.88671875" bestFit="1" customWidth="1"/>
    <col min="4" max="4" width="4.88671875" bestFit="1" customWidth="1"/>
    <col min="5" max="5" width="5" bestFit="1" customWidth="1"/>
    <col min="6" max="6" width="10.6640625" bestFit="1" customWidth="1"/>
    <col min="7" max="7" width="13.6640625" bestFit="1" customWidth="1"/>
    <col min="8" max="8" width="10.6640625" bestFit="1" customWidth="1"/>
    <col min="9" max="9" width="10" bestFit="1" customWidth="1"/>
    <col min="10" max="10" width="13.6640625" bestFit="1" customWidth="1"/>
    <col min="11" max="11" width="23.6640625" bestFit="1" customWidth="1"/>
    <col min="12" max="12" width="25.88671875" bestFit="1" customWidth="1"/>
    <col min="13" max="13" width="19.33203125" bestFit="1" customWidth="1"/>
    <col min="14" max="14" width="15.88671875" bestFit="1" customWidth="1"/>
    <col min="15" max="15" width="12" bestFit="1" customWidth="1"/>
    <col min="16" max="16" width="22.33203125" bestFit="1" customWidth="1"/>
    <col min="17" max="17" width="10.33203125" bestFit="1" customWidth="1"/>
  </cols>
  <sheetData>
    <row r="1" spans="1:19" ht="43.2" x14ac:dyDescent="0.3">
      <c r="A1" s="31" t="s">
        <v>73</v>
      </c>
      <c r="B1" s="31" t="s">
        <v>38</v>
      </c>
      <c r="C1" s="32" t="s">
        <v>74</v>
      </c>
      <c r="D1" s="32" t="s">
        <v>14</v>
      </c>
      <c r="E1" s="32" t="s">
        <v>15</v>
      </c>
      <c r="F1" s="32" t="s">
        <v>16</v>
      </c>
      <c r="G1" s="32" t="s">
        <v>17</v>
      </c>
      <c r="H1" s="32" t="s">
        <v>75</v>
      </c>
      <c r="I1" s="32" t="s">
        <v>76</v>
      </c>
      <c r="J1" s="32" t="s">
        <v>20</v>
      </c>
      <c r="K1" s="33" t="s">
        <v>77</v>
      </c>
      <c r="L1" s="33" t="s">
        <v>78</v>
      </c>
      <c r="M1" s="33" t="s">
        <v>79</v>
      </c>
      <c r="N1" s="33" t="s">
        <v>80</v>
      </c>
      <c r="O1" s="33" t="s">
        <v>81</v>
      </c>
      <c r="P1" s="33" t="s">
        <v>82</v>
      </c>
      <c r="Q1" s="33" t="s">
        <v>83</v>
      </c>
      <c r="R1" s="34" t="s">
        <v>416</v>
      </c>
      <c r="S1" s="35" t="s">
        <v>417</v>
      </c>
    </row>
    <row r="2" spans="1:19" x14ac:dyDescent="0.3">
      <c r="A2" s="17">
        <v>11</v>
      </c>
      <c r="B2" s="17" t="s">
        <v>94</v>
      </c>
      <c r="C2" s="17" t="s">
        <v>422</v>
      </c>
      <c r="D2" s="17" t="s">
        <v>33</v>
      </c>
      <c r="E2" s="17">
        <v>1</v>
      </c>
      <c r="F2" s="17" t="s">
        <v>388</v>
      </c>
      <c r="G2" s="17" t="s">
        <v>388</v>
      </c>
      <c r="H2" s="17" t="s">
        <v>389</v>
      </c>
      <c r="I2" s="17" t="s">
        <v>390</v>
      </c>
      <c r="J2" s="17" t="s">
        <v>391</v>
      </c>
      <c r="K2" s="17" t="s">
        <v>388</v>
      </c>
      <c r="L2" s="17" t="s">
        <v>390</v>
      </c>
      <c r="M2" s="17" t="s">
        <v>391</v>
      </c>
      <c r="N2" s="26">
        <v>43873</v>
      </c>
      <c r="O2" s="26">
        <v>43864</v>
      </c>
      <c r="P2" s="26">
        <v>43861</v>
      </c>
      <c r="Q2" s="27" t="s">
        <v>437</v>
      </c>
      <c r="R2" s="17" t="s">
        <v>418</v>
      </c>
      <c r="S2" s="17" t="s">
        <v>419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25B3D1D-C722-4219-A927-3A17F0ED8D8F}">
          <x14:formula1>
            <xm:f>Listy!$K$2:$K$4</xm:f>
          </x14:formula1>
          <xm:sqref>S2</xm:sqref>
        </x14:dataValidation>
        <x14:dataValidation type="list" allowBlank="1" showInputMessage="1" showErrorMessage="1" xr:uid="{CE97186F-8C62-412A-830A-B3359AFCB33F}">
          <x14:formula1>
            <xm:f>Listy!$J$2:$J$4</xm:f>
          </x14:formula1>
          <xm:sqref>R2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T32"/>
  <sheetViews>
    <sheetView zoomScale="85" zoomScaleNormal="85" workbookViewId="0">
      <selection sqref="A1:T32"/>
    </sheetView>
  </sheetViews>
  <sheetFormatPr defaultRowHeight="14.4" x14ac:dyDescent="0.3"/>
  <cols>
    <col min="1" max="1" width="3.44140625" customWidth="1"/>
    <col min="2" max="2" width="9.44140625" customWidth="1"/>
    <col min="3" max="3" width="4.5546875" customWidth="1"/>
    <col min="4" max="4" width="1" customWidth="1"/>
    <col min="5" max="5" width="12.109375" customWidth="1"/>
    <col min="6" max="6" width="8.109375" customWidth="1"/>
    <col min="7" max="7" width="7.5546875" customWidth="1"/>
    <col min="8" max="8" width="1.109375" customWidth="1"/>
    <col min="9" max="9" width="6" customWidth="1"/>
    <col min="10" max="10" width="0" hidden="1" customWidth="1"/>
    <col min="11" max="11" width="2.44140625" customWidth="1"/>
    <col min="12" max="12" width="6.109375" customWidth="1"/>
    <col min="13" max="13" width="1.5546875" customWidth="1"/>
    <col min="14" max="14" width="6" customWidth="1"/>
    <col min="15" max="15" width="2.88671875" customWidth="1"/>
    <col min="16" max="16" width="6.88671875" customWidth="1"/>
    <col min="17" max="17" width="0.109375" customWidth="1"/>
    <col min="18" max="18" width="8.5546875" customWidth="1"/>
    <col min="19" max="19" width="0.88671875" customWidth="1"/>
    <col min="20" max="20" width="9.5546875" customWidth="1"/>
  </cols>
  <sheetData>
    <row r="1" spans="1:20" ht="16.2" thickBot="1" x14ac:dyDescent="0.35">
      <c r="A1" s="118" t="s">
        <v>31</v>
      </c>
      <c r="B1" s="119"/>
      <c r="C1" s="119"/>
      <c r="D1" s="119"/>
      <c r="E1" s="119"/>
      <c r="F1" s="122" t="s">
        <v>437</v>
      </c>
      <c r="G1" s="123"/>
      <c r="H1" s="124"/>
      <c r="I1" s="11"/>
      <c r="J1" s="6"/>
      <c r="K1" s="65" t="s">
        <v>431</v>
      </c>
      <c r="L1" s="67"/>
      <c r="M1" s="67"/>
      <c r="N1" s="67"/>
      <c r="O1" s="67"/>
      <c r="P1" s="67"/>
      <c r="Q1" s="67"/>
      <c r="R1" s="67"/>
      <c r="S1" s="67"/>
      <c r="T1" s="66"/>
    </row>
    <row r="2" spans="1:20" ht="16.2" thickBot="1" x14ac:dyDescent="0.35">
      <c r="A2" s="120"/>
      <c r="B2" s="121"/>
      <c r="C2" s="121"/>
      <c r="D2" s="121"/>
      <c r="E2" s="121"/>
      <c r="F2" s="125"/>
      <c r="G2" s="126"/>
      <c r="H2" s="127"/>
      <c r="I2" s="11"/>
      <c r="J2" s="6"/>
      <c r="K2" s="128" t="s">
        <v>35</v>
      </c>
      <c r="L2" s="129"/>
      <c r="M2" s="129"/>
      <c r="N2" s="129"/>
      <c r="O2" s="129"/>
      <c r="P2" s="129"/>
      <c r="Q2" s="129"/>
      <c r="R2" s="129"/>
      <c r="S2" s="129"/>
      <c r="T2" s="130"/>
    </row>
    <row r="3" spans="1:20" ht="16.2" thickBot="1" x14ac:dyDescent="0.35">
      <c r="A3" s="131" t="s">
        <v>30</v>
      </c>
      <c r="B3" s="132"/>
      <c r="C3" s="132"/>
      <c r="D3" s="132"/>
      <c r="E3" s="133"/>
      <c r="F3" s="5"/>
      <c r="G3" s="5"/>
      <c r="H3" s="5"/>
      <c r="I3" s="11"/>
      <c r="J3" s="11"/>
      <c r="K3" s="12"/>
      <c r="L3" s="12"/>
      <c r="M3" s="12"/>
      <c r="N3" s="12"/>
      <c r="O3" s="12"/>
      <c r="P3" s="12"/>
      <c r="Q3" s="12"/>
      <c r="R3" s="12"/>
      <c r="S3" s="12"/>
      <c r="T3" s="12"/>
    </row>
    <row r="4" spans="1:20" ht="15" thickBot="1" x14ac:dyDescent="0.35">
      <c r="A4" s="41"/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</row>
    <row r="5" spans="1:20" ht="15" thickBot="1" x14ac:dyDescent="0.35">
      <c r="A5" s="106" t="s">
        <v>0</v>
      </c>
      <c r="B5" s="108"/>
      <c r="C5" s="108"/>
      <c r="D5" s="108"/>
      <c r="E5" s="109" t="s">
        <v>1</v>
      </c>
      <c r="F5" s="109"/>
      <c r="G5" s="109"/>
      <c r="H5" s="109"/>
      <c r="I5" s="10"/>
      <c r="J5" s="7"/>
      <c r="K5" s="106" t="s">
        <v>25</v>
      </c>
      <c r="L5" s="108"/>
      <c r="M5" s="108"/>
      <c r="N5" s="108"/>
      <c r="O5" s="108"/>
      <c r="P5" s="108"/>
      <c r="Q5" s="108"/>
      <c r="R5" s="108"/>
      <c r="S5" s="108"/>
      <c r="T5" s="107"/>
    </row>
    <row r="6" spans="1:20" ht="15" thickBot="1" x14ac:dyDescent="0.35">
      <c r="A6" s="110">
        <v>43873</v>
      </c>
      <c r="B6" s="111"/>
      <c r="C6" s="111"/>
      <c r="D6" s="111"/>
      <c r="E6" s="112" t="s">
        <v>29</v>
      </c>
      <c r="F6" s="112"/>
      <c r="G6" s="112"/>
      <c r="H6" s="112"/>
      <c r="I6" s="10"/>
      <c r="J6" s="7"/>
      <c r="K6" s="113">
        <v>43861</v>
      </c>
      <c r="L6" s="67"/>
      <c r="M6" s="67"/>
      <c r="N6" s="67"/>
      <c r="O6" s="67"/>
      <c r="P6" s="67"/>
      <c r="Q6" s="67"/>
      <c r="R6" s="67"/>
      <c r="S6" s="67"/>
      <c r="T6" s="66"/>
    </row>
    <row r="7" spans="1:20" ht="15" thickBot="1" x14ac:dyDescent="0.35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</row>
    <row r="8" spans="1:20" ht="15" thickBot="1" x14ac:dyDescent="0.35">
      <c r="A8" s="106" t="s">
        <v>2</v>
      </c>
      <c r="B8" s="108"/>
      <c r="C8" s="108"/>
      <c r="D8" s="108"/>
      <c r="E8" s="108"/>
      <c r="F8" s="108"/>
      <c r="G8" s="108"/>
      <c r="H8" s="107"/>
      <c r="I8" s="9"/>
      <c r="J8" s="8"/>
      <c r="K8" s="106" t="s">
        <v>3</v>
      </c>
      <c r="L8" s="108"/>
      <c r="M8" s="108"/>
      <c r="N8" s="108"/>
      <c r="O8" s="108"/>
      <c r="P8" s="108"/>
      <c r="Q8" s="108"/>
      <c r="R8" s="108"/>
      <c r="S8" s="108"/>
      <c r="T8" s="107"/>
    </row>
    <row r="9" spans="1:20" x14ac:dyDescent="0.3">
      <c r="A9" s="114" t="s">
        <v>4</v>
      </c>
      <c r="B9" s="115"/>
      <c r="C9" s="115"/>
      <c r="D9" s="115"/>
      <c r="E9" s="115"/>
      <c r="F9" s="115"/>
      <c r="G9" s="115"/>
      <c r="H9" s="116"/>
      <c r="I9" s="9"/>
      <c r="J9" s="8"/>
      <c r="K9" s="117" t="s">
        <v>94</v>
      </c>
      <c r="L9" s="115"/>
      <c r="M9" s="115"/>
      <c r="N9" s="115"/>
      <c r="O9" s="115"/>
      <c r="P9" s="115"/>
      <c r="Q9" s="115"/>
      <c r="R9" s="115"/>
      <c r="S9" s="115"/>
      <c r="T9" s="116"/>
    </row>
    <row r="10" spans="1:20" x14ac:dyDescent="0.3">
      <c r="A10" s="93" t="s">
        <v>5</v>
      </c>
      <c r="B10" s="94"/>
      <c r="C10" s="94"/>
      <c r="D10" s="94"/>
      <c r="E10" s="94"/>
      <c r="F10" s="94"/>
      <c r="G10" s="94"/>
      <c r="H10" s="95"/>
      <c r="I10" s="9"/>
      <c r="J10" s="8"/>
      <c r="K10" s="97" t="s">
        <v>194</v>
      </c>
      <c r="L10" s="96"/>
      <c r="M10" s="96"/>
      <c r="N10" s="96"/>
      <c r="O10" s="96"/>
      <c r="P10" s="96"/>
      <c r="Q10" s="96"/>
      <c r="R10" s="96"/>
      <c r="S10" s="96"/>
      <c r="T10" s="95"/>
    </row>
    <row r="11" spans="1:20" x14ac:dyDescent="0.3">
      <c r="A11" s="93" t="s">
        <v>6</v>
      </c>
      <c r="B11" s="94"/>
      <c r="C11" s="94"/>
      <c r="D11" s="94"/>
      <c r="E11" s="94"/>
      <c r="F11" s="94"/>
      <c r="G11" s="94"/>
      <c r="H11" s="95"/>
      <c r="I11" s="9"/>
      <c r="J11" s="8"/>
      <c r="K11" s="93" t="s">
        <v>294</v>
      </c>
      <c r="L11" s="96"/>
      <c r="M11" s="96"/>
      <c r="N11" s="96"/>
      <c r="O11" s="96"/>
      <c r="P11" s="96"/>
      <c r="Q11" s="96"/>
      <c r="R11" s="96"/>
      <c r="S11" s="96"/>
      <c r="T11" s="95"/>
    </row>
    <row r="12" spans="1:20" x14ac:dyDescent="0.3">
      <c r="A12" s="93" t="s">
        <v>7</v>
      </c>
      <c r="B12" s="94"/>
      <c r="C12" s="94"/>
      <c r="D12" s="94"/>
      <c r="E12" s="94"/>
      <c r="F12" s="94"/>
      <c r="G12" s="94"/>
      <c r="H12" s="95"/>
      <c r="I12" s="14"/>
      <c r="J12" s="8"/>
      <c r="K12" s="97"/>
      <c r="L12" s="94"/>
      <c r="M12" s="94"/>
      <c r="N12" s="94"/>
      <c r="O12" s="94"/>
      <c r="P12" s="94"/>
      <c r="Q12" s="94"/>
      <c r="R12" s="94"/>
      <c r="S12" s="94"/>
      <c r="T12" s="95"/>
    </row>
    <row r="13" spans="1:20" x14ac:dyDescent="0.3">
      <c r="A13" s="93"/>
      <c r="B13" s="94"/>
      <c r="C13" s="94"/>
      <c r="D13" s="94"/>
      <c r="E13" s="94"/>
      <c r="F13" s="94"/>
      <c r="G13" s="94"/>
      <c r="H13" s="95"/>
      <c r="I13" s="14"/>
      <c r="J13" s="9"/>
      <c r="K13" s="98"/>
      <c r="L13" s="94"/>
      <c r="M13" s="94"/>
      <c r="N13" s="94"/>
      <c r="O13" s="94"/>
      <c r="P13" s="94"/>
      <c r="Q13" s="94"/>
      <c r="R13" s="94"/>
      <c r="S13" s="94"/>
      <c r="T13" s="95"/>
    </row>
    <row r="14" spans="1:20" ht="15" thickBot="1" x14ac:dyDescent="0.35">
      <c r="A14" s="99" t="s">
        <v>8</v>
      </c>
      <c r="B14" s="100"/>
      <c r="C14" s="100"/>
      <c r="D14" s="100"/>
      <c r="E14" s="100"/>
      <c r="F14" s="100"/>
      <c r="G14" s="100"/>
      <c r="H14" s="101"/>
      <c r="I14" s="9"/>
      <c r="J14" s="9"/>
      <c r="K14" s="102" t="s">
        <v>438</v>
      </c>
      <c r="L14" s="103"/>
      <c r="M14" s="103"/>
      <c r="N14" s="103"/>
      <c r="O14" s="103"/>
      <c r="P14" s="103"/>
      <c r="Q14" s="103"/>
      <c r="R14" s="103"/>
      <c r="S14" s="103"/>
      <c r="T14" s="104"/>
    </row>
    <row r="15" spans="1:20" ht="15" thickBot="1" x14ac:dyDescent="0.35">
      <c r="A15" s="105"/>
      <c r="B15" s="105"/>
      <c r="C15" s="105"/>
      <c r="D15" s="105"/>
      <c r="E15" s="105"/>
      <c r="F15" s="105"/>
      <c r="G15" s="105"/>
      <c r="H15" s="105"/>
      <c r="I15" s="105"/>
      <c r="J15" s="105"/>
      <c r="K15" s="105"/>
      <c r="L15" s="105"/>
      <c r="M15" s="105"/>
      <c r="N15" s="105"/>
      <c r="O15" s="105"/>
      <c r="P15" s="105"/>
      <c r="Q15" s="105"/>
      <c r="R15" s="105"/>
      <c r="S15" s="105"/>
      <c r="T15" s="105"/>
    </row>
    <row r="16" spans="1:20" ht="15" thickBot="1" x14ac:dyDescent="0.35">
      <c r="A16" s="106" t="s">
        <v>9</v>
      </c>
      <c r="B16" s="107"/>
      <c r="C16" s="65" t="s">
        <v>10</v>
      </c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6"/>
    </row>
    <row r="17" spans="1:20" ht="15" thickBot="1" x14ac:dyDescent="0.35">
      <c r="A17" s="92"/>
      <c r="B17" s="92"/>
      <c r="C17" s="92"/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  <c r="P17" s="92"/>
      <c r="Q17" s="92"/>
      <c r="R17" s="92"/>
      <c r="S17" s="92"/>
      <c r="T17" s="92"/>
    </row>
    <row r="18" spans="1:20" x14ac:dyDescent="0.3">
      <c r="A18" s="87" t="s">
        <v>11</v>
      </c>
      <c r="B18" s="89" t="s">
        <v>12</v>
      </c>
      <c r="C18" s="90"/>
      <c r="D18" s="90"/>
      <c r="E18" s="90"/>
      <c r="F18" s="91"/>
      <c r="G18" s="89" t="s">
        <v>14</v>
      </c>
      <c r="H18" s="91"/>
      <c r="I18" s="89" t="s">
        <v>15</v>
      </c>
      <c r="J18" s="90"/>
      <c r="K18" s="91"/>
      <c r="L18" s="71" t="s">
        <v>16</v>
      </c>
      <c r="M18" s="72"/>
      <c r="N18" s="71" t="s">
        <v>17</v>
      </c>
      <c r="O18" s="72"/>
      <c r="P18" s="71" t="s">
        <v>18</v>
      </c>
      <c r="Q18" s="72"/>
      <c r="R18" s="71" t="s">
        <v>19</v>
      </c>
      <c r="S18" s="72"/>
      <c r="T18" s="75" t="s">
        <v>20</v>
      </c>
    </row>
    <row r="19" spans="1:20" ht="15" thickBot="1" x14ac:dyDescent="0.35">
      <c r="A19" s="88"/>
      <c r="B19" s="77" t="s">
        <v>13</v>
      </c>
      <c r="C19" s="78"/>
      <c r="D19" s="78"/>
      <c r="E19" s="78"/>
      <c r="F19" s="79"/>
      <c r="G19" s="77"/>
      <c r="H19" s="79"/>
      <c r="I19" s="77"/>
      <c r="J19" s="78"/>
      <c r="K19" s="79"/>
      <c r="L19" s="73"/>
      <c r="M19" s="74"/>
      <c r="N19" s="73"/>
      <c r="O19" s="74"/>
      <c r="P19" s="73"/>
      <c r="Q19" s="74"/>
      <c r="R19" s="73"/>
      <c r="S19" s="74"/>
      <c r="T19" s="76"/>
    </row>
    <row r="20" spans="1:20" ht="15" thickBot="1" x14ac:dyDescent="0.35">
      <c r="A20" s="25">
        <v>1</v>
      </c>
      <c r="B20" s="62" t="s">
        <v>422</v>
      </c>
      <c r="C20" s="63"/>
      <c r="D20" s="63"/>
      <c r="E20" s="63"/>
      <c r="F20" s="64"/>
      <c r="G20" s="65" t="s">
        <v>33</v>
      </c>
      <c r="H20" s="66"/>
      <c r="I20" s="65">
        <v>1</v>
      </c>
      <c r="J20" s="67"/>
      <c r="K20" s="66"/>
      <c r="L20" s="54" t="s">
        <v>388</v>
      </c>
      <c r="M20" s="55"/>
      <c r="N20" s="54" t="s">
        <v>388</v>
      </c>
      <c r="O20" s="55"/>
      <c r="P20" s="85" t="s">
        <v>404</v>
      </c>
      <c r="Q20" s="86"/>
      <c r="R20" s="54" t="s">
        <v>390</v>
      </c>
      <c r="S20" s="55"/>
      <c r="T20" s="16" t="s">
        <v>391</v>
      </c>
    </row>
    <row r="21" spans="1:20" ht="15" thickBot="1" x14ac:dyDescent="0.35">
      <c r="A21" s="39"/>
      <c r="B21" s="39"/>
      <c r="C21" s="39"/>
      <c r="D21" s="39"/>
      <c r="E21" s="39"/>
      <c r="F21" s="39"/>
      <c r="G21" s="39"/>
      <c r="H21" s="39"/>
      <c r="I21" s="80"/>
      <c r="J21" s="80"/>
      <c r="K21" s="80"/>
      <c r="L21" s="81" t="s">
        <v>21</v>
      </c>
      <c r="M21" s="82"/>
      <c r="N21" s="54" t="s">
        <v>388</v>
      </c>
      <c r="O21" s="55"/>
      <c r="P21" s="83"/>
      <c r="Q21" s="84"/>
      <c r="R21" s="54" t="s">
        <v>390</v>
      </c>
      <c r="S21" s="55"/>
      <c r="T21" s="16" t="s">
        <v>391</v>
      </c>
    </row>
    <row r="22" spans="1:20" ht="15" thickBot="1" x14ac:dyDescent="0.35">
      <c r="A22" s="40"/>
      <c r="B22" s="40"/>
      <c r="C22" s="40"/>
      <c r="D22" s="40"/>
      <c r="E22" s="40"/>
      <c r="F22" s="40"/>
      <c r="G22" s="40"/>
      <c r="H22" s="40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</row>
    <row r="23" spans="1:20" ht="27" customHeight="1" thickBot="1" x14ac:dyDescent="0.35">
      <c r="A23" s="42"/>
      <c r="B23" s="42"/>
      <c r="C23" s="42"/>
      <c r="D23" s="42"/>
      <c r="E23" s="42"/>
      <c r="F23" s="42"/>
      <c r="G23" s="42"/>
      <c r="H23" s="42"/>
      <c r="I23" s="42"/>
      <c r="J23" s="40"/>
      <c r="K23" s="40"/>
      <c r="L23" s="43"/>
      <c r="M23" s="69" t="s">
        <v>22</v>
      </c>
      <c r="N23" s="70"/>
      <c r="O23" s="52" t="s">
        <v>17</v>
      </c>
      <c r="P23" s="53"/>
      <c r="Q23" s="52" t="s">
        <v>19</v>
      </c>
      <c r="R23" s="53"/>
      <c r="S23" s="52" t="s">
        <v>32</v>
      </c>
      <c r="T23" s="53"/>
    </row>
    <row r="24" spans="1:20" ht="15" thickBot="1" x14ac:dyDescent="0.35">
      <c r="A24" s="42"/>
      <c r="B24" s="42"/>
      <c r="C24" s="42"/>
      <c r="D24" s="42"/>
      <c r="E24" s="42"/>
      <c r="F24" s="42"/>
      <c r="G24" s="42"/>
      <c r="H24" s="42"/>
      <c r="I24" s="42"/>
      <c r="J24" s="40"/>
      <c r="K24" s="40"/>
      <c r="L24" s="43"/>
      <c r="M24" s="50">
        <v>0.23</v>
      </c>
      <c r="N24" s="51"/>
      <c r="O24" s="46" t="s">
        <v>388</v>
      </c>
      <c r="P24" s="47"/>
      <c r="Q24" s="46" t="s">
        <v>390</v>
      </c>
      <c r="R24" s="47"/>
      <c r="S24" s="48" t="s">
        <v>391</v>
      </c>
      <c r="T24" s="49"/>
    </row>
    <row r="25" spans="1:20" ht="15" thickBot="1" x14ac:dyDescent="0.35">
      <c r="A25" s="42"/>
      <c r="B25" s="42"/>
      <c r="C25" s="42"/>
      <c r="D25" s="42"/>
      <c r="E25" s="42"/>
      <c r="F25" s="42"/>
      <c r="G25" s="42"/>
      <c r="H25" s="42"/>
      <c r="I25" s="42"/>
      <c r="J25" s="40"/>
      <c r="K25" s="40"/>
      <c r="L25" s="43"/>
      <c r="M25" s="44" t="s">
        <v>23</v>
      </c>
      <c r="N25" s="45"/>
      <c r="O25" s="46" t="s">
        <v>388</v>
      </c>
      <c r="P25" s="47"/>
      <c r="Q25" s="46" t="s">
        <v>390</v>
      </c>
      <c r="R25" s="47"/>
      <c r="S25" s="48" t="s">
        <v>391</v>
      </c>
      <c r="T25" s="49"/>
    </row>
    <row r="26" spans="1:20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ht="15.6" x14ac:dyDescent="0.3">
      <c r="A27" s="2"/>
      <c r="I27" s="68" t="s">
        <v>28</v>
      </c>
      <c r="J27" s="68"/>
      <c r="K27" s="68"/>
      <c r="L27" s="68"/>
      <c r="M27" s="68"/>
      <c r="N27" s="68"/>
      <c r="O27" s="38"/>
      <c r="P27" s="38"/>
      <c r="Q27" s="15"/>
      <c r="R27" s="15"/>
      <c r="S27" s="15"/>
      <c r="T27" s="15"/>
    </row>
    <row r="28" spans="1:20" x14ac:dyDescent="0.3">
      <c r="B28" s="13"/>
    </row>
    <row r="29" spans="1:20" ht="15" thickBot="1" x14ac:dyDescent="0.35">
      <c r="A29" s="3" t="s">
        <v>26</v>
      </c>
    </row>
    <row r="30" spans="1:20" ht="15" thickBot="1" x14ac:dyDescent="0.35">
      <c r="A30" s="3" t="s">
        <v>24</v>
      </c>
      <c r="B30" s="56" t="s">
        <v>27</v>
      </c>
      <c r="C30" s="57"/>
      <c r="D30" s="57"/>
      <c r="E30" s="57"/>
      <c r="F30" s="57"/>
      <c r="G30" s="58"/>
    </row>
    <row r="31" spans="1:20" ht="15" thickBot="1" x14ac:dyDescent="0.35">
      <c r="A31" s="4"/>
      <c r="B31" s="59" t="str">
        <f>A10</f>
        <v>Marta Sacawa</v>
      </c>
      <c r="C31" s="60"/>
      <c r="D31" s="60"/>
      <c r="E31" s="60"/>
      <c r="F31" s="60"/>
      <c r="G31" s="61"/>
    </row>
    <row r="32" spans="1:20" ht="15.6" x14ac:dyDescent="0.3">
      <c r="A32" s="2"/>
    </row>
  </sheetData>
  <mergeCells count="73">
    <mergeCell ref="P20:Q20"/>
    <mergeCell ref="R20:S20"/>
    <mergeCell ref="A21:H22"/>
    <mergeCell ref="I22:T22"/>
    <mergeCell ref="A23:I25"/>
    <mergeCell ref="J23:L25"/>
    <mergeCell ref="M23:N23"/>
    <mergeCell ref="O23:P23"/>
    <mergeCell ref="Q23:R23"/>
    <mergeCell ref="S23:T23"/>
    <mergeCell ref="B20:F20"/>
    <mergeCell ref="G20:H20"/>
    <mergeCell ref="I20:K20"/>
    <mergeCell ref="L20:M20"/>
    <mergeCell ref="N20:O20"/>
    <mergeCell ref="I21:K21"/>
    <mergeCell ref="L21:M21"/>
    <mergeCell ref="N21:O21"/>
    <mergeCell ref="P21:Q21"/>
    <mergeCell ref="R21:S21"/>
    <mergeCell ref="M24:N24"/>
    <mergeCell ref="O24:P24"/>
    <mergeCell ref="M25:N25"/>
    <mergeCell ref="O25:P25"/>
    <mergeCell ref="Q24:R24"/>
    <mergeCell ref="S24:T24"/>
    <mergeCell ref="Q25:R25"/>
    <mergeCell ref="S25:T25"/>
    <mergeCell ref="I27:N27"/>
    <mergeCell ref="O27:P27"/>
    <mergeCell ref="I18:K19"/>
    <mergeCell ref="A12:H12"/>
    <mergeCell ref="A13:H13"/>
    <mergeCell ref="A15:T15"/>
    <mergeCell ref="A16:B16"/>
    <mergeCell ref="C16:T16"/>
    <mergeCell ref="A14:H14"/>
    <mergeCell ref="K12:T12"/>
    <mergeCell ref="K13:T13"/>
    <mergeCell ref="K14:T14"/>
    <mergeCell ref="A17:T17"/>
    <mergeCell ref="B19:F19"/>
    <mergeCell ref="A18:A19"/>
    <mergeCell ref="B18:F18"/>
    <mergeCell ref="G18:H19"/>
    <mergeCell ref="K1:T1"/>
    <mergeCell ref="K2:T2"/>
    <mergeCell ref="A4:T4"/>
    <mergeCell ref="A1:E2"/>
    <mergeCell ref="F1:H2"/>
    <mergeCell ref="A3:E3"/>
    <mergeCell ref="K5:T5"/>
    <mergeCell ref="A6:D6"/>
    <mergeCell ref="K6:T6"/>
    <mergeCell ref="E5:H5"/>
    <mergeCell ref="E6:H6"/>
    <mergeCell ref="A5:D5"/>
    <mergeCell ref="A7:T7"/>
    <mergeCell ref="A8:H8"/>
    <mergeCell ref="K8:T8"/>
    <mergeCell ref="A10:H10"/>
    <mergeCell ref="A11:H11"/>
    <mergeCell ref="K9:T9"/>
    <mergeCell ref="K10:T10"/>
    <mergeCell ref="K11:T11"/>
    <mergeCell ref="A9:H9"/>
    <mergeCell ref="L18:M19"/>
    <mergeCell ref="N18:O19"/>
    <mergeCell ref="P18:Q19"/>
    <mergeCell ref="R18:S19"/>
    <mergeCell ref="T18:T19"/>
    <mergeCell ref="B31:G31"/>
    <mergeCell ref="B30:G30"/>
  </mergeCells>
  <pageMargins left="0.25" right="0.25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EB36F-E731-42A1-80E8-00EAFEABFE6F}">
  <sheetPr codeName="Sheet3"/>
  <dimension ref="A1:G102"/>
  <sheetViews>
    <sheetView workbookViewId="0">
      <selection activeCell="G88" sqref="G88"/>
    </sheetView>
  </sheetViews>
  <sheetFormatPr defaultRowHeight="14.4" x14ac:dyDescent="0.3"/>
  <cols>
    <col min="1" max="1" width="19.109375" bestFit="1" customWidth="1"/>
    <col min="2" max="2" width="12" bestFit="1" customWidth="1"/>
    <col min="3" max="3" width="18.33203125" bestFit="1" customWidth="1"/>
    <col min="4" max="4" width="15.33203125" bestFit="1" customWidth="1"/>
    <col min="5" max="5" width="14.5546875" bestFit="1" customWidth="1"/>
    <col min="6" max="6" width="7.109375" bestFit="1" customWidth="1"/>
    <col min="7" max="7" width="14.5546875" bestFit="1" customWidth="1"/>
  </cols>
  <sheetData>
    <row r="1" spans="1:7" s="17" customFormat="1" x14ac:dyDescent="0.3">
      <c r="A1" s="17" t="s">
        <v>37</v>
      </c>
      <c r="B1" s="17" t="s">
        <v>38</v>
      </c>
      <c r="C1" s="17" t="s">
        <v>39</v>
      </c>
      <c r="D1" s="17" t="s">
        <v>40</v>
      </c>
      <c r="E1" s="17" t="s">
        <v>41</v>
      </c>
      <c r="F1" s="17" t="s">
        <v>46</v>
      </c>
      <c r="G1" s="17" t="s">
        <v>42</v>
      </c>
    </row>
    <row r="2" spans="1:7" x14ac:dyDescent="0.3">
      <c r="A2">
        <v>1</v>
      </c>
      <c r="B2" t="s">
        <v>43</v>
      </c>
      <c r="C2" t="s">
        <v>44</v>
      </c>
      <c r="D2" t="s">
        <v>45</v>
      </c>
      <c r="G2">
        <v>777888111</v>
      </c>
    </row>
    <row r="3" spans="1:7" x14ac:dyDescent="0.3">
      <c r="A3">
        <v>2</v>
      </c>
      <c r="B3" s="23" t="s">
        <v>85</v>
      </c>
      <c r="C3" s="24" t="s">
        <v>185</v>
      </c>
      <c r="D3" t="s">
        <v>285</v>
      </c>
      <c r="G3">
        <v>777888112</v>
      </c>
    </row>
    <row r="4" spans="1:7" x14ac:dyDescent="0.3">
      <c r="A4">
        <v>3</v>
      </c>
      <c r="B4" s="23" t="s">
        <v>86</v>
      </c>
      <c r="C4" s="24" t="s">
        <v>186</v>
      </c>
      <c r="D4" t="s">
        <v>286</v>
      </c>
      <c r="G4">
        <v>777888113</v>
      </c>
    </row>
    <row r="5" spans="1:7" x14ac:dyDescent="0.3">
      <c r="A5">
        <v>4</v>
      </c>
      <c r="B5" s="23" t="s">
        <v>87</v>
      </c>
      <c r="C5" s="24" t="s">
        <v>187</v>
      </c>
      <c r="D5" t="s">
        <v>287</v>
      </c>
      <c r="G5">
        <v>777888114</v>
      </c>
    </row>
    <row r="6" spans="1:7" x14ac:dyDescent="0.3">
      <c r="A6">
        <v>5</v>
      </c>
      <c r="B6" s="23" t="s">
        <v>88</v>
      </c>
      <c r="C6" s="24" t="s">
        <v>188</v>
      </c>
      <c r="D6" t="s">
        <v>288</v>
      </c>
      <c r="G6">
        <v>777888115</v>
      </c>
    </row>
    <row r="7" spans="1:7" x14ac:dyDescent="0.3">
      <c r="A7">
        <v>6</v>
      </c>
      <c r="B7" s="23" t="s">
        <v>89</v>
      </c>
      <c r="C7" s="24" t="s">
        <v>189</v>
      </c>
      <c r="D7" t="s">
        <v>289</v>
      </c>
      <c r="G7">
        <v>777888116</v>
      </c>
    </row>
    <row r="8" spans="1:7" x14ac:dyDescent="0.3">
      <c r="A8">
        <v>7</v>
      </c>
      <c r="B8" s="23" t="s">
        <v>90</v>
      </c>
      <c r="C8" s="24" t="s">
        <v>190</v>
      </c>
      <c r="D8" t="s">
        <v>290</v>
      </c>
      <c r="G8">
        <v>777888117</v>
      </c>
    </row>
    <row r="9" spans="1:7" x14ac:dyDescent="0.3">
      <c r="A9">
        <v>8</v>
      </c>
      <c r="B9" s="23" t="s">
        <v>91</v>
      </c>
      <c r="C9" s="24" t="s">
        <v>191</v>
      </c>
      <c r="D9" t="s">
        <v>291</v>
      </c>
      <c r="G9">
        <v>777888118</v>
      </c>
    </row>
    <row r="10" spans="1:7" x14ac:dyDescent="0.3">
      <c r="A10">
        <v>9</v>
      </c>
      <c r="B10" s="23" t="s">
        <v>92</v>
      </c>
      <c r="C10" s="24" t="s">
        <v>192</v>
      </c>
      <c r="D10" t="s">
        <v>292</v>
      </c>
      <c r="G10">
        <v>777888119</v>
      </c>
    </row>
    <row r="11" spans="1:7" x14ac:dyDescent="0.3">
      <c r="A11">
        <v>10</v>
      </c>
      <c r="B11" s="23" t="s">
        <v>93</v>
      </c>
      <c r="C11" s="24" t="s">
        <v>193</v>
      </c>
      <c r="D11" t="s">
        <v>293</v>
      </c>
      <c r="G11">
        <v>777888120</v>
      </c>
    </row>
    <row r="12" spans="1:7" x14ac:dyDescent="0.3">
      <c r="A12">
        <v>11</v>
      </c>
      <c r="B12" s="23" t="s">
        <v>94</v>
      </c>
      <c r="C12" s="24" t="s">
        <v>194</v>
      </c>
      <c r="D12" t="s">
        <v>294</v>
      </c>
      <c r="G12">
        <v>777888121</v>
      </c>
    </row>
    <row r="13" spans="1:7" x14ac:dyDescent="0.3">
      <c r="A13">
        <v>12</v>
      </c>
      <c r="B13" s="23" t="s">
        <v>95</v>
      </c>
      <c r="C13" s="24" t="s">
        <v>195</v>
      </c>
      <c r="D13" t="s">
        <v>295</v>
      </c>
      <c r="G13">
        <v>777888122</v>
      </c>
    </row>
    <row r="14" spans="1:7" x14ac:dyDescent="0.3">
      <c r="A14">
        <v>13</v>
      </c>
      <c r="B14" s="23" t="s">
        <v>96</v>
      </c>
      <c r="C14" s="24" t="s">
        <v>196</v>
      </c>
      <c r="D14" t="s">
        <v>296</v>
      </c>
      <c r="G14">
        <v>777888123</v>
      </c>
    </row>
    <row r="15" spans="1:7" x14ac:dyDescent="0.3">
      <c r="A15">
        <v>14</v>
      </c>
      <c r="B15" s="23" t="s">
        <v>97</v>
      </c>
      <c r="C15" s="24" t="s">
        <v>197</v>
      </c>
      <c r="D15" t="s">
        <v>297</v>
      </c>
      <c r="G15">
        <v>777888124</v>
      </c>
    </row>
    <row r="16" spans="1:7" x14ac:dyDescent="0.3">
      <c r="A16">
        <v>15</v>
      </c>
      <c r="B16" s="23" t="s">
        <v>98</v>
      </c>
      <c r="C16" s="24" t="s">
        <v>198</v>
      </c>
      <c r="D16" t="s">
        <v>298</v>
      </c>
      <c r="G16">
        <v>777888125</v>
      </c>
    </row>
    <row r="17" spans="1:7" x14ac:dyDescent="0.3">
      <c r="A17">
        <v>16</v>
      </c>
      <c r="B17" s="23" t="s">
        <v>99</v>
      </c>
      <c r="C17" s="24" t="s">
        <v>199</v>
      </c>
      <c r="D17" t="s">
        <v>299</v>
      </c>
      <c r="G17">
        <v>777888126</v>
      </c>
    </row>
    <row r="18" spans="1:7" x14ac:dyDescent="0.3">
      <c r="A18">
        <v>17</v>
      </c>
      <c r="B18" s="23" t="s">
        <v>100</v>
      </c>
      <c r="C18" s="24" t="s">
        <v>200</v>
      </c>
      <c r="D18" t="s">
        <v>300</v>
      </c>
      <c r="G18">
        <v>777888127</v>
      </c>
    </row>
    <row r="19" spans="1:7" x14ac:dyDescent="0.3">
      <c r="A19">
        <v>18</v>
      </c>
      <c r="B19" s="23" t="s">
        <v>101</v>
      </c>
      <c r="C19" s="24" t="s">
        <v>201</v>
      </c>
      <c r="D19" t="s">
        <v>301</v>
      </c>
      <c r="G19">
        <v>777888128</v>
      </c>
    </row>
    <row r="20" spans="1:7" x14ac:dyDescent="0.3">
      <c r="A20">
        <v>19</v>
      </c>
      <c r="B20" s="23" t="s">
        <v>102</v>
      </c>
      <c r="C20" s="24" t="s">
        <v>202</v>
      </c>
      <c r="D20" t="s">
        <v>302</v>
      </c>
      <c r="G20">
        <v>777888129</v>
      </c>
    </row>
    <row r="21" spans="1:7" x14ac:dyDescent="0.3">
      <c r="A21">
        <v>20</v>
      </c>
      <c r="B21" s="23" t="s">
        <v>103</v>
      </c>
      <c r="C21" s="24" t="s">
        <v>203</v>
      </c>
      <c r="D21" t="s">
        <v>303</v>
      </c>
      <c r="G21">
        <v>777888130</v>
      </c>
    </row>
    <row r="22" spans="1:7" x14ac:dyDescent="0.3">
      <c r="A22">
        <v>21</v>
      </c>
      <c r="B22" s="23" t="s">
        <v>104</v>
      </c>
      <c r="C22" s="24" t="s">
        <v>204</v>
      </c>
      <c r="D22" t="s">
        <v>304</v>
      </c>
      <c r="G22">
        <v>777888131</v>
      </c>
    </row>
    <row r="23" spans="1:7" x14ac:dyDescent="0.3">
      <c r="A23">
        <v>22</v>
      </c>
      <c r="B23" s="23" t="s">
        <v>105</v>
      </c>
      <c r="C23" s="24" t="s">
        <v>205</v>
      </c>
      <c r="D23" t="s">
        <v>305</v>
      </c>
      <c r="G23">
        <v>777888132</v>
      </c>
    </row>
    <row r="24" spans="1:7" x14ac:dyDescent="0.3">
      <c r="A24">
        <v>23</v>
      </c>
      <c r="B24" s="23" t="s">
        <v>106</v>
      </c>
      <c r="C24" s="24" t="s">
        <v>206</v>
      </c>
      <c r="D24" t="s">
        <v>306</v>
      </c>
      <c r="G24">
        <v>777888133</v>
      </c>
    </row>
    <row r="25" spans="1:7" x14ac:dyDescent="0.3">
      <c r="A25">
        <v>24</v>
      </c>
      <c r="B25" s="23" t="s">
        <v>107</v>
      </c>
      <c r="C25" s="24" t="s">
        <v>207</v>
      </c>
      <c r="D25" t="s">
        <v>307</v>
      </c>
      <c r="G25">
        <v>777888134</v>
      </c>
    </row>
    <row r="26" spans="1:7" x14ac:dyDescent="0.3">
      <c r="A26">
        <v>25</v>
      </c>
      <c r="B26" s="23" t="s">
        <v>108</v>
      </c>
      <c r="C26" s="24" t="s">
        <v>208</v>
      </c>
      <c r="D26" t="s">
        <v>308</v>
      </c>
      <c r="G26">
        <v>777888135</v>
      </c>
    </row>
    <row r="27" spans="1:7" x14ac:dyDescent="0.3">
      <c r="A27">
        <v>26</v>
      </c>
      <c r="B27" s="23" t="s">
        <v>109</v>
      </c>
      <c r="C27" s="24" t="s">
        <v>209</v>
      </c>
      <c r="D27" t="s">
        <v>309</v>
      </c>
      <c r="G27">
        <v>777888136</v>
      </c>
    </row>
    <row r="28" spans="1:7" x14ac:dyDescent="0.3">
      <c r="A28">
        <v>27</v>
      </c>
      <c r="B28" s="23" t="s">
        <v>110</v>
      </c>
      <c r="C28" s="24" t="s">
        <v>210</v>
      </c>
      <c r="D28" t="s">
        <v>310</v>
      </c>
      <c r="G28">
        <v>777888137</v>
      </c>
    </row>
    <row r="29" spans="1:7" x14ac:dyDescent="0.3">
      <c r="A29">
        <v>28</v>
      </c>
      <c r="B29" s="23" t="s">
        <v>111</v>
      </c>
      <c r="C29" s="24" t="s">
        <v>211</v>
      </c>
      <c r="D29" t="s">
        <v>311</v>
      </c>
      <c r="G29">
        <v>777888138</v>
      </c>
    </row>
    <row r="30" spans="1:7" x14ac:dyDescent="0.3">
      <c r="A30">
        <v>29</v>
      </c>
      <c r="B30" s="23" t="s">
        <v>112</v>
      </c>
      <c r="C30" s="24" t="s">
        <v>212</v>
      </c>
      <c r="D30" t="s">
        <v>312</v>
      </c>
      <c r="G30">
        <v>777888139</v>
      </c>
    </row>
    <row r="31" spans="1:7" x14ac:dyDescent="0.3">
      <c r="A31">
        <v>30</v>
      </c>
      <c r="B31" s="23" t="s">
        <v>113</v>
      </c>
      <c r="C31" s="24" t="s">
        <v>213</v>
      </c>
      <c r="D31" t="s">
        <v>313</v>
      </c>
      <c r="G31">
        <v>777888140</v>
      </c>
    </row>
    <row r="32" spans="1:7" x14ac:dyDescent="0.3">
      <c r="A32">
        <v>31</v>
      </c>
      <c r="B32" s="23" t="s">
        <v>114</v>
      </c>
      <c r="C32" s="24" t="s">
        <v>214</v>
      </c>
      <c r="D32" t="s">
        <v>314</v>
      </c>
      <c r="G32">
        <v>777888141</v>
      </c>
    </row>
    <row r="33" spans="1:7" x14ac:dyDescent="0.3">
      <c r="A33">
        <v>32</v>
      </c>
      <c r="B33" s="23" t="s">
        <v>115</v>
      </c>
      <c r="C33" s="24" t="s">
        <v>215</v>
      </c>
      <c r="D33" t="s">
        <v>315</v>
      </c>
      <c r="G33">
        <v>777888142</v>
      </c>
    </row>
    <row r="34" spans="1:7" x14ac:dyDescent="0.3">
      <c r="A34">
        <v>33</v>
      </c>
      <c r="B34" s="23" t="s">
        <v>116</v>
      </c>
      <c r="C34" s="24" t="s">
        <v>216</v>
      </c>
      <c r="D34" t="s">
        <v>316</v>
      </c>
      <c r="G34">
        <v>777888143</v>
      </c>
    </row>
    <row r="35" spans="1:7" x14ac:dyDescent="0.3">
      <c r="A35">
        <v>34</v>
      </c>
      <c r="B35" s="23" t="s">
        <v>117</v>
      </c>
      <c r="C35" s="24" t="s">
        <v>217</v>
      </c>
      <c r="D35" t="s">
        <v>317</v>
      </c>
      <c r="G35">
        <v>777888144</v>
      </c>
    </row>
    <row r="36" spans="1:7" x14ac:dyDescent="0.3">
      <c r="A36">
        <v>35</v>
      </c>
      <c r="B36" s="23" t="s">
        <v>118</v>
      </c>
      <c r="C36" s="24" t="s">
        <v>218</v>
      </c>
      <c r="D36" t="s">
        <v>318</v>
      </c>
      <c r="G36">
        <v>777888145</v>
      </c>
    </row>
    <row r="37" spans="1:7" x14ac:dyDescent="0.3">
      <c r="A37">
        <v>36</v>
      </c>
      <c r="B37" s="23" t="s">
        <v>119</v>
      </c>
      <c r="C37" s="24" t="s">
        <v>219</v>
      </c>
      <c r="D37" t="s">
        <v>319</v>
      </c>
      <c r="G37">
        <v>777888146</v>
      </c>
    </row>
    <row r="38" spans="1:7" x14ac:dyDescent="0.3">
      <c r="A38">
        <v>37</v>
      </c>
      <c r="B38" s="23" t="s">
        <v>120</v>
      </c>
      <c r="C38" s="24" t="s">
        <v>220</v>
      </c>
      <c r="D38" t="s">
        <v>320</v>
      </c>
      <c r="G38">
        <v>777888147</v>
      </c>
    </row>
    <row r="39" spans="1:7" x14ac:dyDescent="0.3">
      <c r="A39">
        <v>38</v>
      </c>
      <c r="B39" s="23" t="s">
        <v>121</v>
      </c>
      <c r="C39" s="24" t="s">
        <v>221</v>
      </c>
      <c r="D39" t="s">
        <v>321</v>
      </c>
      <c r="G39">
        <v>777888148</v>
      </c>
    </row>
    <row r="40" spans="1:7" x14ac:dyDescent="0.3">
      <c r="A40">
        <v>39</v>
      </c>
      <c r="B40" s="23" t="s">
        <v>122</v>
      </c>
      <c r="C40" s="24" t="s">
        <v>222</v>
      </c>
      <c r="D40" t="s">
        <v>322</v>
      </c>
      <c r="G40">
        <v>777888149</v>
      </c>
    </row>
    <row r="41" spans="1:7" x14ac:dyDescent="0.3">
      <c r="A41">
        <v>40</v>
      </c>
      <c r="B41" s="23" t="s">
        <v>123</v>
      </c>
      <c r="C41" s="24" t="s">
        <v>223</v>
      </c>
      <c r="D41" t="s">
        <v>323</v>
      </c>
      <c r="G41">
        <v>777888150</v>
      </c>
    </row>
    <row r="42" spans="1:7" x14ac:dyDescent="0.3">
      <c r="A42">
        <v>41</v>
      </c>
      <c r="B42" s="23" t="s">
        <v>124</v>
      </c>
      <c r="C42" s="24" t="s">
        <v>224</v>
      </c>
      <c r="D42" t="s">
        <v>324</v>
      </c>
      <c r="G42">
        <v>777888151</v>
      </c>
    </row>
    <row r="43" spans="1:7" x14ac:dyDescent="0.3">
      <c r="A43">
        <v>42</v>
      </c>
      <c r="B43" s="23" t="s">
        <v>125</v>
      </c>
      <c r="C43" s="24" t="s">
        <v>225</v>
      </c>
      <c r="D43" t="s">
        <v>325</v>
      </c>
      <c r="G43">
        <v>777888152</v>
      </c>
    </row>
    <row r="44" spans="1:7" x14ac:dyDescent="0.3">
      <c r="A44">
        <v>43</v>
      </c>
      <c r="B44" s="23" t="s">
        <v>126</v>
      </c>
      <c r="C44" s="24" t="s">
        <v>226</v>
      </c>
      <c r="D44" t="s">
        <v>326</v>
      </c>
      <c r="G44">
        <v>777888153</v>
      </c>
    </row>
    <row r="45" spans="1:7" x14ac:dyDescent="0.3">
      <c r="A45">
        <v>44</v>
      </c>
      <c r="B45" s="23" t="s">
        <v>127</v>
      </c>
      <c r="C45" s="24" t="s">
        <v>227</v>
      </c>
      <c r="D45" t="s">
        <v>327</v>
      </c>
      <c r="G45">
        <v>777888154</v>
      </c>
    </row>
    <row r="46" spans="1:7" x14ac:dyDescent="0.3">
      <c r="A46">
        <v>45</v>
      </c>
      <c r="B46" s="23" t="s">
        <v>128</v>
      </c>
      <c r="C46" s="24" t="s">
        <v>228</v>
      </c>
      <c r="D46" t="s">
        <v>328</v>
      </c>
      <c r="G46">
        <v>777888155</v>
      </c>
    </row>
    <row r="47" spans="1:7" x14ac:dyDescent="0.3">
      <c r="A47">
        <v>46</v>
      </c>
      <c r="B47" s="23" t="s">
        <v>129</v>
      </c>
      <c r="C47" s="24" t="s">
        <v>229</v>
      </c>
      <c r="D47" t="s">
        <v>329</v>
      </c>
      <c r="G47">
        <v>777888156</v>
      </c>
    </row>
    <row r="48" spans="1:7" x14ac:dyDescent="0.3">
      <c r="A48">
        <v>47</v>
      </c>
      <c r="B48" s="23" t="s">
        <v>130</v>
      </c>
      <c r="C48" s="24" t="s">
        <v>230</v>
      </c>
      <c r="D48" t="s">
        <v>330</v>
      </c>
      <c r="G48">
        <v>777888157</v>
      </c>
    </row>
    <row r="49" spans="1:7" x14ac:dyDescent="0.3">
      <c r="A49">
        <v>48</v>
      </c>
      <c r="B49" s="23" t="s">
        <v>131</v>
      </c>
      <c r="C49" s="24" t="s">
        <v>231</v>
      </c>
      <c r="D49" t="s">
        <v>331</v>
      </c>
      <c r="G49">
        <v>777888158</v>
      </c>
    </row>
    <row r="50" spans="1:7" x14ac:dyDescent="0.3">
      <c r="A50">
        <v>49</v>
      </c>
      <c r="B50" s="23" t="s">
        <v>132</v>
      </c>
      <c r="C50" s="24" t="s">
        <v>232</v>
      </c>
      <c r="D50" t="s">
        <v>332</v>
      </c>
      <c r="G50">
        <v>777888159</v>
      </c>
    </row>
    <row r="51" spans="1:7" x14ac:dyDescent="0.3">
      <c r="A51">
        <v>50</v>
      </c>
      <c r="B51" s="23" t="s">
        <v>133</v>
      </c>
      <c r="C51" s="24" t="s">
        <v>233</v>
      </c>
      <c r="D51" t="s">
        <v>333</v>
      </c>
      <c r="G51">
        <v>777888160</v>
      </c>
    </row>
    <row r="52" spans="1:7" x14ac:dyDescent="0.3">
      <c r="A52">
        <v>51</v>
      </c>
      <c r="B52" s="23" t="s">
        <v>134</v>
      </c>
      <c r="C52" s="24" t="s">
        <v>234</v>
      </c>
      <c r="D52" t="s">
        <v>334</v>
      </c>
      <c r="G52">
        <v>777888161</v>
      </c>
    </row>
    <row r="53" spans="1:7" x14ac:dyDescent="0.3">
      <c r="A53">
        <v>52</v>
      </c>
      <c r="B53" s="23" t="s">
        <v>135</v>
      </c>
      <c r="C53" s="24" t="s">
        <v>235</v>
      </c>
      <c r="D53" t="s">
        <v>335</v>
      </c>
      <c r="G53">
        <v>777888162</v>
      </c>
    </row>
    <row r="54" spans="1:7" x14ac:dyDescent="0.3">
      <c r="A54">
        <v>53</v>
      </c>
      <c r="B54" s="23" t="s">
        <v>136</v>
      </c>
      <c r="C54" s="24" t="s">
        <v>236</v>
      </c>
      <c r="D54" t="s">
        <v>336</v>
      </c>
      <c r="G54">
        <v>777888163</v>
      </c>
    </row>
    <row r="55" spans="1:7" x14ac:dyDescent="0.3">
      <c r="A55">
        <v>54</v>
      </c>
      <c r="B55" s="23" t="s">
        <v>137</v>
      </c>
      <c r="C55" s="24" t="s">
        <v>237</v>
      </c>
      <c r="D55" t="s">
        <v>337</v>
      </c>
      <c r="G55">
        <v>777888164</v>
      </c>
    </row>
    <row r="56" spans="1:7" x14ac:dyDescent="0.3">
      <c r="A56">
        <v>55</v>
      </c>
      <c r="B56" s="23" t="s">
        <v>138</v>
      </c>
      <c r="C56" s="24" t="s">
        <v>238</v>
      </c>
      <c r="D56" t="s">
        <v>338</v>
      </c>
      <c r="G56">
        <v>777888165</v>
      </c>
    </row>
    <row r="57" spans="1:7" x14ac:dyDescent="0.3">
      <c r="A57">
        <v>56</v>
      </c>
      <c r="B57" s="23" t="s">
        <v>139</v>
      </c>
      <c r="C57" s="24" t="s">
        <v>239</v>
      </c>
      <c r="D57" t="s">
        <v>339</v>
      </c>
      <c r="G57">
        <v>777888166</v>
      </c>
    </row>
    <row r="58" spans="1:7" x14ac:dyDescent="0.3">
      <c r="A58">
        <v>57</v>
      </c>
      <c r="B58" s="23" t="s">
        <v>140</v>
      </c>
      <c r="C58" s="24" t="s">
        <v>240</v>
      </c>
      <c r="D58" t="s">
        <v>340</v>
      </c>
      <c r="G58">
        <v>777888167</v>
      </c>
    </row>
    <row r="59" spans="1:7" x14ac:dyDescent="0.3">
      <c r="A59">
        <v>58</v>
      </c>
      <c r="B59" s="23" t="s">
        <v>141</v>
      </c>
      <c r="C59" s="24" t="s">
        <v>241</v>
      </c>
      <c r="D59" t="s">
        <v>341</v>
      </c>
      <c r="G59">
        <v>777888168</v>
      </c>
    </row>
    <row r="60" spans="1:7" x14ac:dyDescent="0.3">
      <c r="A60">
        <v>59</v>
      </c>
      <c r="B60" s="23" t="s">
        <v>142</v>
      </c>
      <c r="C60" s="24" t="s">
        <v>242</v>
      </c>
      <c r="D60" t="s">
        <v>342</v>
      </c>
      <c r="G60">
        <v>777888169</v>
      </c>
    </row>
    <row r="61" spans="1:7" x14ac:dyDescent="0.3">
      <c r="A61">
        <v>60</v>
      </c>
      <c r="B61" s="23" t="s">
        <v>143</v>
      </c>
      <c r="C61" s="24" t="s">
        <v>243</v>
      </c>
      <c r="D61" t="s">
        <v>343</v>
      </c>
      <c r="G61">
        <v>777888170</v>
      </c>
    </row>
    <row r="62" spans="1:7" x14ac:dyDescent="0.3">
      <c r="A62">
        <v>61</v>
      </c>
      <c r="B62" s="23" t="s">
        <v>144</v>
      </c>
      <c r="C62" s="24" t="s">
        <v>244</v>
      </c>
      <c r="D62" t="s">
        <v>344</v>
      </c>
      <c r="G62">
        <v>777888171</v>
      </c>
    </row>
    <row r="63" spans="1:7" x14ac:dyDescent="0.3">
      <c r="A63">
        <v>62</v>
      </c>
      <c r="B63" s="23" t="s">
        <v>145</v>
      </c>
      <c r="C63" s="24" t="s">
        <v>245</v>
      </c>
      <c r="D63" t="s">
        <v>345</v>
      </c>
      <c r="G63">
        <v>777888172</v>
      </c>
    </row>
    <row r="64" spans="1:7" x14ac:dyDescent="0.3">
      <c r="A64">
        <v>63</v>
      </c>
      <c r="B64" s="23" t="s">
        <v>146</v>
      </c>
      <c r="C64" s="24" t="s">
        <v>246</v>
      </c>
      <c r="D64" t="s">
        <v>346</v>
      </c>
      <c r="G64">
        <v>777888173</v>
      </c>
    </row>
    <row r="65" spans="1:7" x14ac:dyDescent="0.3">
      <c r="A65">
        <v>64</v>
      </c>
      <c r="B65" s="23" t="s">
        <v>147</v>
      </c>
      <c r="C65" s="24" t="s">
        <v>247</v>
      </c>
      <c r="D65" t="s">
        <v>347</v>
      </c>
      <c r="G65">
        <v>777888174</v>
      </c>
    </row>
    <row r="66" spans="1:7" x14ac:dyDescent="0.3">
      <c r="A66">
        <v>65</v>
      </c>
      <c r="B66" s="23" t="s">
        <v>148</v>
      </c>
      <c r="C66" s="24" t="s">
        <v>248</v>
      </c>
      <c r="D66" t="s">
        <v>348</v>
      </c>
      <c r="G66">
        <v>777888175</v>
      </c>
    </row>
    <row r="67" spans="1:7" x14ac:dyDescent="0.3">
      <c r="A67">
        <v>66</v>
      </c>
      <c r="B67" s="23" t="s">
        <v>149</v>
      </c>
      <c r="C67" s="24" t="s">
        <v>249</v>
      </c>
      <c r="D67" t="s">
        <v>349</v>
      </c>
      <c r="G67">
        <v>777888176</v>
      </c>
    </row>
    <row r="68" spans="1:7" x14ac:dyDescent="0.3">
      <c r="A68">
        <v>67</v>
      </c>
      <c r="B68" s="23" t="s">
        <v>150</v>
      </c>
      <c r="C68" s="24" t="s">
        <v>250</v>
      </c>
      <c r="D68" t="s">
        <v>350</v>
      </c>
      <c r="G68">
        <v>777888177</v>
      </c>
    </row>
    <row r="69" spans="1:7" x14ac:dyDescent="0.3">
      <c r="A69">
        <v>68</v>
      </c>
      <c r="B69" s="23" t="s">
        <v>151</v>
      </c>
      <c r="C69" s="24" t="s">
        <v>251</v>
      </c>
      <c r="D69" t="s">
        <v>351</v>
      </c>
      <c r="G69">
        <v>777888178</v>
      </c>
    </row>
    <row r="70" spans="1:7" x14ac:dyDescent="0.3">
      <c r="A70">
        <v>69</v>
      </c>
      <c r="B70" s="23" t="s">
        <v>152</v>
      </c>
      <c r="C70" s="24" t="s">
        <v>252</v>
      </c>
      <c r="D70" t="s">
        <v>352</v>
      </c>
      <c r="G70">
        <v>777888179</v>
      </c>
    </row>
    <row r="71" spans="1:7" x14ac:dyDescent="0.3">
      <c r="A71">
        <v>70</v>
      </c>
      <c r="B71" s="23" t="s">
        <v>153</v>
      </c>
      <c r="C71" s="24" t="s">
        <v>253</v>
      </c>
      <c r="D71" t="s">
        <v>353</v>
      </c>
      <c r="G71">
        <v>777888180</v>
      </c>
    </row>
    <row r="72" spans="1:7" x14ac:dyDescent="0.3">
      <c r="A72">
        <v>71</v>
      </c>
      <c r="B72" s="23" t="s">
        <v>154</v>
      </c>
      <c r="C72" s="24" t="s">
        <v>254</v>
      </c>
      <c r="D72" t="s">
        <v>354</v>
      </c>
      <c r="G72">
        <v>777888181</v>
      </c>
    </row>
    <row r="73" spans="1:7" x14ac:dyDescent="0.3">
      <c r="A73">
        <v>72</v>
      </c>
      <c r="B73" s="23" t="s">
        <v>155</v>
      </c>
      <c r="C73" s="24" t="s">
        <v>255</v>
      </c>
      <c r="D73" t="s">
        <v>355</v>
      </c>
      <c r="G73">
        <v>777888182</v>
      </c>
    </row>
    <row r="74" spans="1:7" x14ac:dyDescent="0.3">
      <c r="A74">
        <v>73</v>
      </c>
      <c r="B74" s="23" t="s">
        <v>156</v>
      </c>
      <c r="C74" s="24" t="s">
        <v>256</v>
      </c>
      <c r="D74" t="s">
        <v>356</v>
      </c>
      <c r="G74">
        <v>777888183</v>
      </c>
    </row>
    <row r="75" spans="1:7" x14ac:dyDescent="0.3">
      <c r="A75">
        <v>74</v>
      </c>
      <c r="B75" s="23" t="s">
        <v>157</v>
      </c>
      <c r="C75" s="24" t="s">
        <v>257</v>
      </c>
      <c r="D75" t="s">
        <v>357</v>
      </c>
      <c r="G75">
        <v>777888184</v>
      </c>
    </row>
    <row r="76" spans="1:7" x14ac:dyDescent="0.3">
      <c r="A76">
        <v>75</v>
      </c>
      <c r="B76" s="23" t="s">
        <v>158</v>
      </c>
      <c r="C76" s="24" t="s">
        <v>258</v>
      </c>
      <c r="D76" t="s">
        <v>358</v>
      </c>
      <c r="G76">
        <v>777888185</v>
      </c>
    </row>
    <row r="77" spans="1:7" x14ac:dyDescent="0.3">
      <c r="A77">
        <v>76</v>
      </c>
      <c r="B77" s="23" t="s">
        <v>159</v>
      </c>
      <c r="C77" s="24" t="s">
        <v>259</v>
      </c>
      <c r="D77" t="s">
        <v>359</v>
      </c>
      <c r="G77">
        <v>777888186</v>
      </c>
    </row>
    <row r="78" spans="1:7" x14ac:dyDescent="0.3">
      <c r="A78">
        <v>77</v>
      </c>
      <c r="B78" s="23" t="s">
        <v>160</v>
      </c>
      <c r="C78" s="24" t="s">
        <v>260</v>
      </c>
      <c r="D78" t="s">
        <v>360</v>
      </c>
      <c r="G78">
        <v>777888187</v>
      </c>
    </row>
    <row r="79" spans="1:7" x14ac:dyDescent="0.3">
      <c r="A79">
        <v>78</v>
      </c>
      <c r="B79" s="23" t="s">
        <v>161</v>
      </c>
      <c r="C79" s="24" t="s">
        <v>261</v>
      </c>
      <c r="D79" t="s">
        <v>361</v>
      </c>
      <c r="G79">
        <v>777888188</v>
      </c>
    </row>
    <row r="80" spans="1:7" x14ac:dyDescent="0.3">
      <c r="A80">
        <v>79</v>
      </c>
      <c r="B80" s="23" t="s">
        <v>162</v>
      </c>
      <c r="C80" s="24" t="s">
        <v>262</v>
      </c>
      <c r="D80" t="s">
        <v>362</v>
      </c>
      <c r="G80">
        <v>777888189</v>
      </c>
    </row>
    <row r="81" spans="1:7" x14ac:dyDescent="0.3">
      <c r="A81">
        <v>80</v>
      </c>
      <c r="B81" s="23" t="s">
        <v>163</v>
      </c>
      <c r="C81" s="24" t="s">
        <v>263</v>
      </c>
      <c r="D81" t="s">
        <v>363</v>
      </c>
      <c r="G81">
        <v>777888190</v>
      </c>
    </row>
    <row r="82" spans="1:7" x14ac:dyDescent="0.3">
      <c r="A82">
        <v>81</v>
      </c>
      <c r="B82" s="23" t="s">
        <v>164</v>
      </c>
      <c r="C82" s="24" t="s">
        <v>264</v>
      </c>
      <c r="D82" t="s">
        <v>364</v>
      </c>
      <c r="G82">
        <v>777888191</v>
      </c>
    </row>
    <row r="83" spans="1:7" x14ac:dyDescent="0.3">
      <c r="A83">
        <v>82</v>
      </c>
      <c r="B83" s="23" t="s">
        <v>165</v>
      </c>
      <c r="C83" s="24" t="s">
        <v>265</v>
      </c>
      <c r="D83" t="s">
        <v>365</v>
      </c>
      <c r="G83">
        <v>777888192</v>
      </c>
    </row>
    <row r="84" spans="1:7" x14ac:dyDescent="0.3">
      <c r="A84">
        <v>83</v>
      </c>
      <c r="B84" s="23" t="s">
        <v>166</v>
      </c>
      <c r="C84" s="24" t="s">
        <v>266</v>
      </c>
      <c r="D84" t="s">
        <v>366</v>
      </c>
      <c r="G84">
        <v>777888193</v>
      </c>
    </row>
    <row r="85" spans="1:7" x14ac:dyDescent="0.3">
      <c r="A85">
        <v>84</v>
      </c>
      <c r="B85" s="23" t="s">
        <v>167</v>
      </c>
      <c r="C85" s="24" t="s">
        <v>267</v>
      </c>
      <c r="D85" t="s">
        <v>367</v>
      </c>
      <c r="G85">
        <v>777888194</v>
      </c>
    </row>
    <row r="86" spans="1:7" x14ac:dyDescent="0.3">
      <c r="A86">
        <v>85</v>
      </c>
      <c r="B86" s="23" t="s">
        <v>168</v>
      </c>
      <c r="C86" s="24" t="s">
        <v>268</v>
      </c>
      <c r="D86" t="s">
        <v>368</v>
      </c>
      <c r="G86">
        <v>777888195</v>
      </c>
    </row>
    <row r="87" spans="1:7" x14ac:dyDescent="0.3">
      <c r="A87">
        <v>86</v>
      </c>
      <c r="B87" s="23" t="s">
        <v>169</v>
      </c>
      <c r="C87" s="24" t="s">
        <v>269</v>
      </c>
      <c r="D87" t="s">
        <v>369</v>
      </c>
      <c r="G87">
        <v>777888196</v>
      </c>
    </row>
    <row r="88" spans="1:7" x14ac:dyDescent="0.3">
      <c r="A88">
        <v>87</v>
      </c>
      <c r="B88" s="23" t="s">
        <v>170</v>
      </c>
      <c r="C88" s="24" t="s">
        <v>270</v>
      </c>
      <c r="D88" t="s">
        <v>370</v>
      </c>
      <c r="G88">
        <v>777888197</v>
      </c>
    </row>
    <row r="89" spans="1:7" x14ac:dyDescent="0.3">
      <c r="A89">
        <v>88</v>
      </c>
      <c r="B89" s="23" t="s">
        <v>171</v>
      </c>
      <c r="C89" s="24" t="s">
        <v>271</v>
      </c>
      <c r="D89" t="s">
        <v>371</v>
      </c>
      <c r="G89">
        <v>777888198</v>
      </c>
    </row>
    <row r="90" spans="1:7" x14ac:dyDescent="0.3">
      <c r="A90">
        <v>89</v>
      </c>
      <c r="B90" s="23" t="s">
        <v>172</v>
      </c>
      <c r="C90" s="24" t="s">
        <v>272</v>
      </c>
      <c r="D90" t="s">
        <v>372</v>
      </c>
      <c r="G90">
        <v>777888199</v>
      </c>
    </row>
    <row r="91" spans="1:7" x14ac:dyDescent="0.3">
      <c r="A91">
        <v>90</v>
      </c>
      <c r="B91" s="23" t="s">
        <v>173</v>
      </c>
      <c r="C91" s="24" t="s">
        <v>273</v>
      </c>
      <c r="D91" t="s">
        <v>373</v>
      </c>
      <c r="G91">
        <v>777888200</v>
      </c>
    </row>
    <row r="92" spans="1:7" x14ac:dyDescent="0.3">
      <c r="A92">
        <v>91</v>
      </c>
      <c r="B92" s="23" t="s">
        <v>174</v>
      </c>
      <c r="C92" s="24" t="s">
        <v>274</v>
      </c>
      <c r="D92" t="s">
        <v>374</v>
      </c>
      <c r="G92">
        <v>777888201</v>
      </c>
    </row>
    <row r="93" spans="1:7" x14ac:dyDescent="0.3">
      <c r="A93">
        <v>92</v>
      </c>
      <c r="B93" s="23" t="s">
        <v>175</v>
      </c>
      <c r="C93" s="24" t="s">
        <v>275</v>
      </c>
      <c r="D93" t="s">
        <v>375</v>
      </c>
      <c r="G93">
        <v>777888202</v>
      </c>
    </row>
    <row r="94" spans="1:7" x14ac:dyDescent="0.3">
      <c r="A94">
        <v>93</v>
      </c>
      <c r="B94" s="23" t="s">
        <v>176</v>
      </c>
      <c r="C94" s="24" t="s">
        <v>276</v>
      </c>
      <c r="D94" t="s">
        <v>376</v>
      </c>
      <c r="G94">
        <v>777888203</v>
      </c>
    </row>
    <row r="95" spans="1:7" x14ac:dyDescent="0.3">
      <c r="A95">
        <v>94</v>
      </c>
      <c r="B95" s="23" t="s">
        <v>177</v>
      </c>
      <c r="C95" s="24" t="s">
        <v>277</v>
      </c>
      <c r="D95" t="s">
        <v>377</v>
      </c>
      <c r="G95">
        <v>777888204</v>
      </c>
    </row>
    <row r="96" spans="1:7" x14ac:dyDescent="0.3">
      <c r="A96">
        <v>95</v>
      </c>
      <c r="B96" s="23" t="s">
        <v>178</v>
      </c>
      <c r="C96" s="24" t="s">
        <v>278</v>
      </c>
      <c r="D96" t="s">
        <v>378</v>
      </c>
      <c r="G96">
        <v>777888205</v>
      </c>
    </row>
    <row r="97" spans="1:7" x14ac:dyDescent="0.3">
      <c r="A97">
        <v>96</v>
      </c>
      <c r="B97" s="23" t="s">
        <v>179</v>
      </c>
      <c r="C97" s="24" t="s">
        <v>279</v>
      </c>
      <c r="D97" t="s">
        <v>379</v>
      </c>
      <c r="G97">
        <v>777888206</v>
      </c>
    </row>
    <row r="98" spans="1:7" x14ac:dyDescent="0.3">
      <c r="A98">
        <v>97</v>
      </c>
      <c r="B98" s="23" t="s">
        <v>180</v>
      </c>
      <c r="C98" s="24" t="s">
        <v>280</v>
      </c>
      <c r="D98" t="s">
        <v>380</v>
      </c>
      <c r="G98">
        <v>777888207</v>
      </c>
    </row>
    <row r="99" spans="1:7" x14ac:dyDescent="0.3">
      <c r="A99">
        <v>98</v>
      </c>
      <c r="B99" s="23" t="s">
        <v>181</v>
      </c>
      <c r="C99" s="24" t="s">
        <v>281</v>
      </c>
      <c r="D99" t="s">
        <v>381</v>
      </c>
      <c r="G99">
        <v>777888208</v>
      </c>
    </row>
    <row r="100" spans="1:7" x14ac:dyDescent="0.3">
      <c r="A100">
        <v>99</v>
      </c>
      <c r="B100" s="23" t="s">
        <v>182</v>
      </c>
      <c r="C100" s="24" t="s">
        <v>282</v>
      </c>
      <c r="D100" t="s">
        <v>382</v>
      </c>
      <c r="G100">
        <v>777888209</v>
      </c>
    </row>
    <row r="101" spans="1:7" x14ac:dyDescent="0.3">
      <c r="A101">
        <v>100</v>
      </c>
      <c r="B101" s="23" t="s">
        <v>183</v>
      </c>
      <c r="C101" s="24" t="s">
        <v>283</v>
      </c>
      <c r="D101" t="s">
        <v>383</v>
      </c>
      <c r="G101">
        <v>777888210</v>
      </c>
    </row>
    <row r="102" spans="1:7" x14ac:dyDescent="0.3">
      <c r="A102">
        <v>101</v>
      </c>
      <c r="B102" s="23" t="s">
        <v>184</v>
      </c>
      <c r="C102" s="24" t="s">
        <v>284</v>
      </c>
      <c r="D102" t="s">
        <v>384</v>
      </c>
      <c r="G102">
        <v>777888211</v>
      </c>
    </row>
  </sheetData>
  <phoneticPr fontId="1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EC964-DEE9-48E6-95F4-43E9DB4B5805}">
  <sheetPr codeName="Sheet1"/>
  <dimension ref="A1:F4"/>
  <sheetViews>
    <sheetView workbookViewId="0">
      <selection activeCell="O1" sqref="O1:X1048576"/>
    </sheetView>
  </sheetViews>
  <sheetFormatPr defaultRowHeight="14.4" x14ac:dyDescent="0.3"/>
  <cols>
    <col min="2" max="2" width="26.5546875" bestFit="1" customWidth="1"/>
    <col min="3" max="3" width="4.33203125" bestFit="1" customWidth="1"/>
    <col min="4" max="4" width="6.44140625" style="18" bestFit="1" customWidth="1"/>
    <col min="5" max="5" width="9.88671875" style="18" bestFit="1" customWidth="1"/>
    <col min="6" max="6" width="12.5546875" style="18" bestFit="1" customWidth="1"/>
  </cols>
  <sheetData>
    <row r="1" spans="1:6" s="17" customFormat="1" x14ac:dyDescent="0.3">
      <c r="A1" s="17" t="s">
        <v>47</v>
      </c>
      <c r="B1" s="17" t="s">
        <v>36</v>
      </c>
      <c r="C1" s="17" t="s">
        <v>14</v>
      </c>
      <c r="D1" s="17" t="s">
        <v>15</v>
      </c>
      <c r="E1" s="17" t="s">
        <v>16</v>
      </c>
      <c r="F1" s="17" t="s">
        <v>18</v>
      </c>
    </row>
    <row r="2" spans="1:6" x14ac:dyDescent="0.3">
      <c r="A2">
        <v>1</v>
      </c>
      <c r="B2" t="s">
        <v>385</v>
      </c>
      <c r="C2" t="s">
        <v>33</v>
      </c>
      <c r="D2" s="18">
        <v>1</v>
      </c>
      <c r="E2" s="18">
        <v>120</v>
      </c>
      <c r="F2" s="20">
        <v>0.23</v>
      </c>
    </row>
    <row r="3" spans="1:6" x14ac:dyDescent="0.3">
      <c r="A3">
        <v>2</v>
      </c>
      <c r="B3" t="s">
        <v>48</v>
      </c>
      <c r="C3" s="20" t="s">
        <v>33</v>
      </c>
      <c r="D3" s="18">
        <v>1</v>
      </c>
      <c r="E3" s="18">
        <v>100</v>
      </c>
      <c r="F3" s="20">
        <v>0.08</v>
      </c>
    </row>
    <row r="4" spans="1:6" x14ac:dyDescent="0.3">
      <c r="A4">
        <v>4</v>
      </c>
      <c r="B4" t="s">
        <v>386</v>
      </c>
      <c r="C4" t="s">
        <v>33</v>
      </c>
      <c r="D4" s="18">
        <v>1</v>
      </c>
      <c r="E4" s="18">
        <v>150</v>
      </c>
      <c r="F4" s="20">
        <v>0.05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7B5156F-DBC6-43A5-B64B-9141A303D1B9}">
          <x14:formula1>
            <xm:f>Listy!$A$2:$A$5</xm:f>
          </x14:formula1>
          <xm:sqref>F2:F1048576</xm:sqref>
        </x14:dataValidation>
        <x14:dataValidation type="list" allowBlank="1" showInputMessage="1" showErrorMessage="1" xr:uid="{D3888267-FA4D-44DF-91E6-2EA94A043FA7}">
          <x14:formula1>
            <xm:f>Listy!$C$2:$C$5</xm:f>
          </x14:formula1>
          <xm:sqref>C2:C1048576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F6E05-44A4-42D2-9795-8CC1C7CA4064}">
  <sheetPr codeName="Sheet5"/>
  <dimension ref="A1:K12"/>
  <sheetViews>
    <sheetView workbookViewId="0">
      <selection activeCell="J11" sqref="J11"/>
    </sheetView>
  </sheetViews>
  <sheetFormatPr defaultRowHeight="14.4" x14ac:dyDescent="0.3"/>
  <cols>
    <col min="2" max="2" width="37.44140625" bestFit="1" customWidth="1"/>
    <col min="6" max="6" width="10.44140625" bestFit="1" customWidth="1"/>
    <col min="10" max="10" width="14.6640625" bestFit="1" customWidth="1"/>
    <col min="11" max="11" width="25.77734375" bestFit="1" customWidth="1"/>
  </cols>
  <sheetData>
    <row r="1" spans="1:11" x14ac:dyDescent="0.3">
      <c r="A1" s="17" t="s">
        <v>400</v>
      </c>
      <c r="B1" s="17" t="s">
        <v>402</v>
      </c>
      <c r="C1" s="17" t="s">
        <v>401</v>
      </c>
      <c r="E1" t="s">
        <v>49</v>
      </c>
      <c r="F1" s="21" t="s">
        <v>61</v>
      </c>
      <c r="H1" s="17" t="s">
        <v>403</v>
      </c>
      <c r="J1" t="s">
        <v>416</v>
      </c>
      <c r="K1" t="s">
        <v>417</v>
      </c>
    </row>
    <row r="2" spans="1:11" x14ac:dyDescent="0.3">
      <c r="A2" s="19">
        <v>0</v>
      </c>
      <c r="B2" t="s">
        <v>10</v>
      </c>
      <c r="C2" t="s">
        <v>33</v>
      </c>
      <c r="E2" t="s">
        <v>50</v>
      </c>
      <c r="F2" s="21" t="s">
        <v>62</v>
      </c>
      <c r="J2" t="s">
        <v>418</v>
      </c>
      <c r="K2" t="s">
        <v>418</v>
      </c>
    </row>
    <row r="3" spans="1:11" x14ac:dyDescent="0.3">
      <c r="A3" s="19">
        <v>0.05</v>
      </c>
      <c r="C3" t="s">
        <v>34</v>
      </c>
      <c r="E3" t="s">
        <v>51</v>
      </c>
      <c r="F3" s="21" t="s">
        <v>63</v>
      </c>
      <c r="J3" t="s">
        <v>419</v>
      </c>
      <c r="K3" t="s">
        <v>419</v>
      </c>
    </row>
    <row r="4" spans="1:11" x14ac:dyDescent="0.3">
      <c r="A4" s="19">
        <v>0.08</v>
      </c>
      <c r="E4" t="s">
        <v>52</v>
      </c>
      <c r="F4" s="21" t="s">
        <v>64</v>
      </c>
      <c r="J4" t="s">
        <v>420</v>
      </c>
      <c r="K4" t="s">
        <v>421</v>
      </c>
    </row>
    <row r="5" spans="1:11" x14ac:dyDescent="0.3">
      <c r="A5" s="19">
        <v>0.23</v>
      </c>
      <c r="E5" t="s">
        <v>53</v>
      </c>
      <c r="F5" s="21" t="s">
        <v>65</v>
      </c>
    </row>
    <row r="6" spans="1:11" x14ac:dyDescent="0.3">
      <c r="E6" t="s">
        <v>54</v>
      </c>
      <c r="F6" s="21" t="s">
        <v>66</v>
      </c>
    </row>
    <row r="7" spans="1:11" x14ac:dyDescent="0.3">
      <c r="E7" t="s">
        <v>55</v>
      </c>
      <c r="F7" s="21" t="s">
        <v>67</v>
      </c>
    </row>
    <row r="8" spans="1:11" x14ac:dyDescent="0.3">
      <c r="E8" t="s">
        <v>56</v>
      </c>
      <c r="F8" s="21" t="s">
        <v>68</v>
      </c>
    </row>
    <row r="9" spans="1:11" x14ac:dyDescent="0.3">
      <c r="E9" t="s">
        <v>57</v>
      </c>
      <c r="F9" s="21" t="s">
        <v>69</v>
      </c>
    </row>
    <row r="10" spans="1:11" x14ac:dyDescent="0.3">
      <c r="E10" t="s">
        <v>58</v>
      </c>
      <c r="F10" s="21" t="s">
        <v>70</v>
      </c>
    </row>
    <row r="11" spans="1:11" x14ac:dyDescent="0.3">
      <c r="E11" t="s">
        <v>59</v>
      </c>
      <c r="F11" s="21" t="s">
        <v>71</v>
      </c>
    </row>
    <row r="12" spans="1:11" x14ac:dyDescent="0.3">
      <c r="E12" t="s">
        <v>60</v>
      </c>
      <c r="F12" s="21" t="s">
        <v>72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Macro</vt:lpstr>
      <vt:lpstr>Oryginal</vt:lpstr>
      <vt:lpstr>Baza</vt:lpstr>
      <vt:lpstr>tempBaza</vt:lpstr>
      <vt:lpstr>tempInvoice</vt:lpstr>
      <vt:lpstr>Klienci</vt:lpstr>
      <vt:lpstr>Usługi</vt:lpstr>
      <vt:lpstr>Listy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biuro</dc:creator>
  <cp:lastModifiedBy>Karol Pietrzyk</cp:lastModifiedBy>
  <cp:lastPrinted>2020-06-09T14:46:11Z</cp:lastPrinted>
  <dcterms:created xsi:type="dcterms:W3CDTF">2019-08-20T13:29:33Z</dcterms:created>
  <dcterms:modified xsi:type="dcterms:W3CDTF">2020-06-09T14:51:50Z</dcterms:modified>
</cp:coreProperties>
</file>